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fed9c0cf3f584e6/Documents/DataMate/"/>
    </mc:Choice>
  </mc:AlternateContent>
  <xr:revisionPtr revIDLastSave="0" documentId="8_{7C936604-4583-44E8-8EB3-07877EE82EF4}" xr6:coauthVersionLast="47" xr6:coauthVersionMax="47" xr10:uidLastSave="{00000000-0000-0000-0000-000000000000}"/>
  <bookViews>
    <workbookView xWindow="-110" yWindow="-110" windowWidth="27580" windowHeight="17740" activeTab="1" xr2:uid="{00000000-000D-0000-FFFF-FFFF00000000}"/>
  </bookViews>
  <sheets>
    <sheet name="Inventory" sheetId="5" r:id="rId1"/>
    <sheet name="Dashboard" sheetId="17" r:id="rId2"/>
    <sheet name="InvoicesSheet1" sheetId="16" r:id="rId3"/>
    <sheet name="InvoicesInput" sheetId="18" r:id="rId4"/>
    <sheet name="InvoicesView_Print" sheetId="19" r:id="rId5"/>
    <sheet name="InvoicesLog" sheetId="20" r:id="rId6"/>
    <sheet name="Receipt" sheetId="3" r:id="rId7"/>
    <sheet name="Packing Slip" sheetId="4" r:id="rId8"/>
    <sheet name="InvoicesUpdate" sheetId="21" r:id="rId9"/>
    <sheet name="InvoicesData" sheetId="22" r:id="rId10"/>
    <sheet name="contacts" sheetId="23" r:id="rId11"/>
    <sheet name="Address" sheetId="24" r:id="rId12"/>
    <sheet name="NewContact" sheetId="25" r:id="rId13"/>
  </sheets>
  <externalReferences>
    <externalReference r:id="rId14"/>
    <externalReference r:id="rId15"/>
    <externalReference r:id="rId16"/>
  </externalReferences>
  <definedNames>
    <definedName name="_xlnm._FilterDatabase" localSheetId="10" hidden="1">contacts!$A$1:$BQ$1</definedName>
    <definedName name="AECity">[1]ProjectInfo!$P$10</definedName>
    <definedName name="AEState">[1]ProjectInfo!$P$11</definedName>
    <definedName name="AEZip">[1]ProjectInfo!$P$12</definedName>
    <definedName name="ALLCODES">#REF!</definedName>
    <definedName name="AssignProject">#REF!</definedName>
    <definedName name="CompanyCity">[1]ProjectInfo!$P$22</definedName>
    <definedName name="CompanyState">[1]ProjectInfo!$P$23</definedName>
    <definedName name="CompanyZip">[1]ProjectInfo!$P$24</definedName>
    <definedName name="ContactCity">#REF!</definedName>
    <definedName name="ContactSCCOCity">#REF!</definedName>
    <definedName name="ContactSCCOState">#REF!</definedName>
    <definedName name="ContactSCCOViewCity">[1]SCCOView!$J$10</definedName>
    <definedName name="ContactSCCOViewState">[1]SCCOView!$J$11</definedName>
    <definedName name="ContactSCCOViewZip">[1]SCCOView!$J$12</definedName>
    <definedName name="ContactSCCOZip">#REF!</definedName>
    <definedName name="ContactState">#REF!</definedName>
    <definedName name="ContactTransCity">#REF!</definedName>
    <definedName name="ContactTransState">#REF!</definedName>
    <definedName name="ContactTransVeiwCity">[1]TransmittalView!$I$19</definedName>
    <definedName name="ContactTransViewState">[1]TransmittalView!$I$20</definedName>
    <definedName name="ContactTransViewZip">[1]TransmittalView!$I$21</definedName>
    <definedName name="ContactTransZip">#REF!</definedName>
    <definedName name="ContactVeiwCity">[1]POView!$N$9</definedName>
    <definedName name="ContactViewState">[1]POView!$N$12</definedName>
    <definedName name="ContactViewZip">[1]POView!$N$13</definedName>
    <definedName name="ContactZip">#REF!</definedName>
    <definedName name="CONTRACTOR">#REF!</definedName>
    <definedName name="DESCRIPTION">#REF!</definedName>
    <definedName name="Display_Week">'[2]Gantt Chart'!$Q$2</definedName>
    <definedName name="ELEVATION">#REF!</definedName>
    <definedName name="FullName">#REF!</definedName>
    <definedName name="INSPECTOR">#REF!</definedName>
    <definedName name="InvoiceToCity">#REF!</definedName>
    <definedName name="InvoiceToState">#REF!</definedName>
    <definedName name="InvoiceToViewCity">[1]POView!$N$16</definedName>
    <definedName name="InvoiceToViewState">[1]POView!$N$17</definedName>
    <definedName name="InvoiceToViewZip">[1]POView!$N$18</definedName>
    <definedName name="InvoiceToZip">#REF!</definedName>
    <definedName name="PICKVENDOR">#REF!</definedName>
    <definedName name="POContactCity">#REF!</definedName>
    <definedName name="POContactState">#REF!</definedName>
    <definedName name="POContactZip">#REF!</definedName>
    <definedName name="POInvoiceToCity">#REF!</definedName>
    <definedName name="POInvoiceToState">#REF!</definedName>
    <definedName name="POInvoiceToZip">#REF!</definedName>
    <definedName name="POShipToCity">#REF!</definedName>
    <definedName name="POShipToState">#REF!</definedName>
    <definedName name="POShipToZip">#REF!</definedName>
    <definedName name="Project_Start">'[2]Gantt Chart'!$Q$1</definedName>
    <definedName name="ProjectCity">[1]ProjectInfo!$R$6</definedName>
    <definedName name="ProjectState">[1]ProjectInfo!$R$7</definedName>
    <definedName name="ProjectZip">[1]ProjectInfo!$R$8</definedName>
    <definedName name="PropCompanyCity">[1]Proposal!$J$2</definedName>
    <definedName name="PropCompanyState">[1]Proposal!$J$3</definedName>
    <definedName name="PropCompanyStreet">[1]Proposal!$J$4</definedName>
    <definedName name="PropCompanyZip">[1]Proposal!$J$5</definedName>
    <definedName name="PropOwnerCity">[1]Proposal!$J$13</definedName>
    <definedName name="PropOwnerState">[1]Proposal!$J$14</definedName>
    <definedName name="PropOwnerZip">[1]Proposal!$J$15</definedName>
    <definedName name="ROOM">#REF!</definedName>
    <definedName name="ShipToCity">#REF!</definedName>
    <definedName name="ShipToState">#REF!</definedName>
    <definedName name="ShipToVeiwState">[1]POView!$N$6</definedName>
    <definedName name="ShipToVeiwZip">[1]POView!$N$7</definedName>
    <definedName name="ShipToViewCity">[1]POView!$N$5</definedName>
    <definedName name="ShipToZip">#REF!</definedName>
    <definedName name="Subtotal">[3]!LineItems[[#Totals],[AMOUNT]]</definedName>
    <definedName name="YES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0" i="5" l="1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D8" i="3" l="1"/>
  <c r="C22" i="3"/>
  <c r="C21" i="3"/>
  <c r="C20" i="3"/>
  <c r="C19" i="3"/>
  <c r="C18" i="3"/>
  <c r="C17" i="3"/>
  <c r="C16" i="3"/>
  <c r="C15" i="3"/>
  <c r="C14" i="3"/>
  <c r="B22" i="3"/>
  <c r="B21" i="3"/>
  <c r="B20" i="3"/>
  <c r="B19" i="3"/>
  <c r="B18" i="3"/>
  <c r="B17" i="3"/>
  <c r="B16" i="3"/>
  <c r="B15" i="3"/>
  <c r="B14" i="3"/>
  <c r="A22" i="3"/>
  <c r="A21" i="3"/>
  <c r="A20" i="3"/>
  <c r="A19" i="3"/>
  <c r="A18" i="3"/>
  <c r="A17" i="3"/>
  <c r="A16" i="3"/>
  <c r="A15" i="3"/>
  <c r="A14" i="3"/>
  <c r="A10" i="3"/>
  <c r="A9" i="3"/>
  <c r="A8" i="3"/>
  <c r="C13" i="3"/>
  <c r="B13" i="3"/>
  <c r="A13" i="3"/>
  <c r="D11" i="3"/>
  <c r="C22" i="4"/>
  <c r="C21" i="4"/>
  <c r="C20" i="4"/>
  <c r="C19" i="4"/>
  <c r="C18" i="4"/>
  <c r="C17" i="4"/>
  <c r="C16" i="4"/>
  <c r="C15" i="4"/>
  <c r="C14" i="4"/>
  <c r="B22" i="4"/>
  <c r="B21" i="4"/>
  <c r="B20" i="4"/>
  <c r="B19" i="4"/>
  <c r="B18" i="4"/>
  <c r="B17" i="4"/>
  <c r="B16" i="4"/>
  <c r="B15" i="4"/>
  <c r="B14" i="4"/>
  <c r="C13" i="4"/>
  <c r="B13" i="4"/>
  <c r="A22" i="4"/>
  <c r="A21" i="4"/>
  <c r="A20" i="4"/>
  <c r="A19" i="4"/>
  <c r="A18" i="4"/>
  <c r="A17" i="4"/>
  <c r="A16" i="4"/>
  <c r="A15" i="4"/>
  <c r="A14" i="4"/>
  <c r="A13" i="4"/>
  <c r="A11" i="4"/>
  <c r="A10" i="4"/>
  <c r="A9" i="4"/>
  <c r="A8" i="4"/>
  <c r="G148" i="19"/>
  <c r="J143" i="19"/>
  <c r="C137" i="19"/>
  <c r="F123" i="19"/>
  <c r="D123" i="19"/>
  <c r="H119" i="19"/>
  <c r="M111" i="19"/>
  <c r="M110" i="19"/>
  <c r="E109" i="19"/>
  <c r="I104" i="19"/>
  <c r="L102" i="19"/>
  <c r="F101" i="19"/>
  <c r="E97" i="19"/>
  <c r="A97" i="19"/>
  <c r="F95" i="19"/>
  <c r="O92" i="19"/>
  <c r="D92" i="19"/>
  <c r="G91" i="19"/>
  <c r="D89" i="19"/>
  <c r="J88" i="19"/>
  <c r="O87" i="19"/>
  <c r="K85" i="19"/>
  <c r="J85" i="19"/>
  <c r="J84" i="19"/>
  <c r="O82" i="19"/>
  <c r="G82" i="19"/>
  <c r="N81" i="19"/>
  <c r="E80" i="19"/>
  <c r="D80" i="19"/>
  <c r="L79" i="19"/>
  <c r="B78" i="19"/>
  <c r="A78" i="19"/>
  <c r="I77" i="19"/>
  <c r="Q75" i="19"/>
  <c r="P75" i="19"/>
  <c r="F75" i="19"/>
  <c r="N73" i="19"/>
  <c r="M73" i="19"/>
  <c r="D73" i="19"/>
  <c r="L71" i="19"/>
  <c r="J71" i="19"/>
  <c r="A71" i="19"/>
  <c r="I69" i="19"/>
  <c r="H69" i="19"/>
  <c r="P68" i="19"/>
  <c r="I67" i="19"/>
  <c r="F67" i="19"/>
  <c r="Q66" i="19"/>
  <c r="N65" i="19"/>
  <c r="M65" i="19"/>
  <c r="F65" i="19"/>
  <c r="G64" i="19"/>
  <c r="E64" i="19"/>
  <c r="Q63" i="19"/>
  <c r="Q62" i="19"/>
  <c r="P62" i="19"/>
  <c r="I62" i="19"/>
  <c r="I61" i="19"/>
  <c r="H61" i="19"/>
  <c r="A61" i="19"/>
  <c r="B60" i="19"/>
  <c r="Q59" i="19"/>
  <c r="L59" i="19"/>
  <c r="L58" i="19"/>
  <c r="K58" i="19"/>
  <c r="D58" i="19"/>
  <c r="D57" i="19"/>
  <c r="C57" i="19"/>
  <c r="M56" i="19"/>
  <c r="N55" i="19"/>
  <c r="L55" i="19"/>
  <c r="G55" i="19"/>
  <c r="G54" i="19"/>
  <c r="F54" i="19"/>
  <c r="A54" i="19"/>
  <c r="H53" i="19"/>
  <c r="G53" i="19"/>
  <c r="A53" i="19"/>
  <c r="H52" i="19"/>
  <c r="D52" i="19"/>
  <c r="B52" i="19"/>
  <c r="I51" i="19"/>
  <c r="D51" i="19"/>
  <c r="A51" i="19"/>
  <c r="F50" i="19"/>
  <c r="E50" i="19"/>
  <c r="Q49" i="19"/>
  <c r="F49" i="19"/>
  <c r="E49" i="19"/>
  <c r="A49" i="19"/>
  <c r="L48" i="19"/>
  <c r="G48" i="19"/>
  <c r="F48" i="19"/>
  <c r="Q47" i="19"/>
  <c r="M47" i="19"/>
  <c r="G47" i="19"/>
  <c r="E47" i="19"/>
  <c r="A47" i="19"/>
  <c r="J46" i="19"/>
  <c r="H46" i="19"/>
  <c r="D46" i="19"/>
  <c r="Q45" i="19"/>
  <c r="J45" i="19"/>
  <c r="G45" i="19"/>
  <c r="E45" i="19"/>
  <c r="Q44" i="19"/>
  <c r="K44" i="19"/>
  <c r="F44" i="19"/>
  <c r="D44" i="19"/>
  <c r="A44" i="19"/>
  <c r="K43" i="19"/>
  <c r="G43" i="19"/>
  <c r="E43" i="19"/>
  <c r="A43" i="19"/>
  <c r="L42" i="19"/>
  <c r="F42" i="19"/>
  <c r="D42" i="19"/>
  <c r="B42" i="19"/>
  <c r="K41" i="19"/>
  <c r="G41" i="19"/>
  <c r="D41" i="19"/>
  <c r="P40" i="19"/>
  <c r="J40" i="19"/>
  <c r="F40" i="19"/>
  <c r="E40" i="19"/>
  <c r="P39" i="19"/>
  <c r="K39" i="19"/>
  <c r="F39" i="19"/>
  <c r="E39" i="19"/>
  <c r="Q38" i="19"/>
  <c r="J38" i="19"/>
  <c r="G38" i="19"/>
  <c r="F38" i="19"/>
  <c r="Q37" i="19"/>
  <c r="K37" i="19"/>
  <c r="G37" i="19"/>
  <c r="C37" i="19"/>
  <c r="A37" i="19"/>
  <c r="J36" i="19"/>
  <c r="H36" i="19"/>
  <c r="C36" i="19"/>
  <c r="Q35" i="19"/>
  <c r="J35" i="19"/>
  <c r="I35" i="19"/>
  <c r="E35" i="19"/>
  <c r="D35" i="19"/>
  <c r="P34" i="19"/>
  <c r="K34" i="19"/>
  <c r="J34" i="19"/>
  <c r="F34" i="19"/>
  <c r="E34" i="19"/>
  <c r="B34" i="19"/>
  <c r="M33" i="19"/>
  <c r="K33" i="19"/>
  <c r="I33" i="19"/>
  <c r="H33" i="19"/>
  <c r="D33" i="19"/>
  <c r="P32" i="19"/>
  <c r="M32" i="19"/>
  <c r="L32" i="19"/>
  <c r="I32" i="19"/>
  <c r="G32" i="19"/>
  <c r="Q31" i="19"/>
  <c r="P31" i="19"/>
  <c r="O31" i="19"/>
  <c r="K31" i="19"/>
  <c r="H31" i="19"/>
  <c r="O30" i="19"/>
  <c r="N30" i="19"/>
  <c r="L30" i="19"/>
  <c r="K30" i="19"/>
  <c r="F30" i="19"/>
  <c r="O29" i="19"/>
  <c r="M29" i="19"/>
  <c r="J29" i="19"/>
  <c r="I29" i="19"/>
  <c r="E29" i="19"/>
  <c r="Q28" i="19"/>
  <c r="N28" i="19"/>
  <c r="M28" i="19"/>
  <c r="L28" i="19"/>
  <c r="H28" i="19"/>
  <c r="C28" i="19"/>
  <c r="Q27" i="19"/>
  <c r="O27" i="19"/>
  <c r="M27" i="19"/>
  <c r="K27" i="19"/>
  <c r="D27" i="19"/>
  <c r="C27" i="19"/>
  <c r="B27" i="19"/>
  <c r="O26" i="19"/>
  <c r="L26" i="19"/>
  <c r="F26" i="19"/>
  <c r="E26" i="19"/>
  <c r="C26" i="19"/>
  <c r="B26" i="19"/>
  <c r="N25" i="19"/>
  <c r="M25" i="19"/>
  <c r="I25" i="19"/>
  <c r="H25" i="19"/>
  <c r="E25" i="19"/>
  <c r="D25" i="19"/>
  <c r="Q24" i="19"/>
  <c r="P24" i="19"/>
  <c r="L24" i="19"/>
  <c r="I24" i="19"/>
  <c r="H24" i="19"/>
  <c r="G24" i="19"/>
  <c r="B24" i="19"/>
  <c r="Q23" i="19"/>
  <c r="O23" i="19"/>
  <c r="K23" i="19"/>
  <c r="J23" i="19"/>
  <c r="H23" i="19"/>
  <c r="F23" i="19"/>
  <c r="B23" i="19"/>
  <c r="P22" i="19"/>
  <c r="O22" i="19"/>
  <c r="N22" i="19"/>
  <c r="J22" i="19"/>
  <c r="G22" i="19"/>
  <c r="F22" i="19"/>
  <c r="A22" i="19"/>
  <c r="Q21" i="19"/>
  <c r="O21" i="19"/>
  <c r="M21" i="19"/>
  <c r="K21" i="19"/>
  <c r="I21" i="19"/>
  <c r="E21" i="19"/>
  <c r="D21" i="19"/>
  <c r="C21" i="19"/>
  <c r="B21" i="19"/>
  <c r="P20" i="19"/>
  <c r="M20" i="19"/>
  <c r="K20" i="19"/>
  <c r="J20" i="19"/>
  <c r="H20" i="19"/>
  <c r="F20" i="19"/>
  <c r="C20" i="19"/>
  <c r="B20" i="19"/>
  <c r="P19" i="19"/>
  <c r="O19" i="19"/>
  <c r="M19" i="19"/>
  <c r="L19" i="19"/>
  <c r="J19" i="19"/>
  <c r="H19" i="19"/>
  <c r="E19" i="19"/>
  <c r="D19" i="19"/>
  <c r="C19" i="19"/>
  <c r="B19" i="19"/>
  <c r="P18" i="19"/>
  <c r="N18" i="19"/>
  <c r="L18" i="19"/>
  <c r="K18" i="19"/>
  <c r="I18" i="19"/>
  <c r="H18" i="19"/>
  <c r="E18" i="19"/>
  <c r="D18" i="19"/>
  <c r="A18" i="19"/>
  <c r="Q17" i="19"/>
  <c r="O17" i="19"/>
  <c r="N17" i="19"/>
  <c r="L17" i="19"/>
  <c r="J17" i="19"/>
  <c r="G17" i="19"/>
  <c r="F17" i="19"/>
  <c r="E17" i="19"/>
  <c r="D17" i="19"/>
  <c r="A17" i="19"/>
  <c r="P16" i="19"/>
  <c r="N16" i="19"/>
  <c r="M16" i="19"/>
  <c r="K16" i="19"/>
  <c r="J16" i="19"/>
  <c r="G16" i="19"/>
  <c r="F16" i="19"/>
  <c r="C16" i="19"/>
  <c r="B16" i="19"/>
  <c r="Q15" i="19"/>
  <c r="P15" i="19"/>
  <c r="N15" i="19"/>
  <c r="L15" i="19"/>
  <c r="I15" i="19"/>
  <c r="H15" i="19"/>
  <c r="G15" i="19"/>
  <c r="F15" i="19"/>
  <c r="D15" i="19"/>
  <c r="C15" i="19"/>
  <c r="A15" i="19"/>
  <c r="P14" i="19"/>
  <c r="O14" i="19"/>
  <c r="M14" i="19"/>
  <c r="L14" i="19"/>
  <c r="J14" i="19"/>
  <c r="I14" i="19"/>
  <c r="H14" i="19"/>
  <c r="E14" i="19"/>
  <c r="D14" i="19"/>
  <c r="B14" i="19"/>
  <c r="A14" i="19"/>
  <c r="Q13" i="19"/>
  <c r="P13" i="19"/>
  <c r="N13" i="19"/>
  <c r="K13" i="19"/>
  <c r="J13" i="19"/>
  <c r="I13" i="19"/>
  <c r="H13" i="19"/>
  <c r="F13" i="19"/>
  <c r="E13" i="19"/>
  <c r="C13" i="19"/>
  <c r="A13" i="19"/>
  <c r="Q12" i="19"/>
  <c r="O12" i="19"/>
  <c r="N12" i="19"/>
  <c r="L12" i="19"/>
  <c r="K12" i="19"/>
  <c r="J12" i="19"/>
  <c r="G12" i="19"/>
  <c r="F12" i="19"/>
  <c r="D12" i="19"/>
  <c r="C12" i="19"/>
  <c r="A12" i="19"/>
  <c r="Q11" i="19"/>
  <c r="O11" i="19"/>
  <c r="L11" i="19"/>
  <c r="K11" i="19"/>
  <c r="J11" i="19"/>
  <c r="I11" i="19"/>
  <c r="G11" i="19"/>
  <c r="F11" i="19"/>
  <c r="D11" i="19"/>
  <c r="A11" i="19"/>
  <c r="Q10" i="19"/>
  <c r="O10" i="19"/>
  <c r="N10" i="19"/>
  <c r="L10" i="19"/>
  <c r="K10" i="19"/>
  <c r="J10" i="19"/>
  <c r="G10" i="19"/>
  <c r="F10" i="19"/>
  <c r="C10" i="19"/>
  <c r="A10" i="19"/>
  <c r="Q9" i="19"/>
  <c r="P9" i="19"/>
  <c r="N9" i="19"/>
  <c r="K9" i="19"/>
  <c r="J9" i="19"/>
  <c r="I9" i="19"/>
  <c r="H9" i="19"/>
  <c r="F9" i="19"/>
  <c r="D9" i="19"/>
  <c r="A9" i="19"/>
  <c r="P8" i="19"/>
  <c r="O8" i="19"/>
  <c r="M8" i="19"/>
  <c r="L8" i="19"/>
  <c r="J8" i="19"/>
  <c r="I8" i="19"/>
  <c r="H8" i="19"/>
  <c r="E8" i="19"/>
  <c r="D8" i="19"/>
  <c r="B8" i="19"/>
  <c r="A8" i="19"/>
  <c r="Q7" i="19"/>
  <c r="P7" i="19"/>
  <c r="N7" i="19"/>
  <c r="K7" i="19"/>
  <c r="J7" i="19"/>
  <c r="I7" i="19"/>
  <c r="H7" i="19"/>
  <c r="F7" i="19"/>
  <c r="A7" i="19"/>
  <c r="P6" i="19"/>
  <c r="N6" i="19"/>
  <c r="M6" i="19"/>
  <c r="K6" i="19"/>
  <c r="J6" i="19"/>
  <c r="H6" i="19"/>
  <c r="G6" i="19"/>
  <c r="F6" i="19"/>
  <c r="P5" i="19"/>
  <c r="O5" i="19"/>
  <c r="M5" i="19"/>
  <c r="L5" i="19"/>
  <c r="K5" i="19"/>
  <c r="J5" i="19"/>
  <c r="H5" i="19"/>
  <c r="A5" i="19"/>
  <c r="Q4" i="19"/>
  <c r="P4" i="19"/>
  <c r="O4" i="19"/>
  <c r="M4" i="19"/>
  <c r="L4" i="19"/>
  <c r="J4" i="19"/>
  <c r="H4" i="19"/>
  <c r="G4" i="19"/>
  <c r="A4" i="19"/>
  <c r="Q3" i="19"/>
  <c r="O3" i="19"/>
  <c r="N3" i="19"/>
  <c r="M3" i="19"/>
  <c r="J3" i="19"/>
  <c r="I3" i="19"/>
  <c r="G3" i="19"/>
  <c r="F3" i="19"/>
  <c r="A3" i="19"/>
  <c r="O2" i="19"/>
  <c r="M2" i="19"/>
  <c r="A1" i="19"/>
  <c r="C155" i="19" s="1"/>
  <c r="F24" i="18"/>
  <c r="C24" i="18"/>
  <c r="D24" i="18" s="1"/>
  <c r="F23" i="18"/>
  <c r="C23" i="18"/>
  <c r="D23" i="18" s="1"/>
  <c r="F22" i="18"/>
  <c r="C22" i="18"/>
  <c r="D22" i="18" s="1"/>
  <c r="F21" i="18"/>
  <c r="C21" i="18"/>
  <c r="D21" i="18" s="1"/>
  <c r="F20" i="18"/>
  <c r="C20" i="18"/>
  <c r="D20" i="18" s="1"/>
  <c r="F19" i="18"/>
  <c r="C19" i="18"/>
  <c r="D19" i="18" s="1"/>
  <c r="F18" i="18"/>
  <c r="C18" i="18"/>
  <c r="D18" i="18" s="1"/>
  <c r="F17" i="18"/>
  <c r="C17" i="18"/>
  <c r="D17" i="18" s="1"/>
  <c r="F16" i="18"/>
  <c r="C16" i="18"/>
  <c r="D16" i="18" s="1"/>
  <c r="F15" i="18"/>
  <c r="D15" i="18"/>
  <c r="C15" i="18"/>
  <c r="F14" i="18"/>
  <c r="C13" i="18"/>
  <c r="A13" i="18"/>
  <c r="A12" i="18"/>
  <c r="A11" i="18"/>
  <c r="D10" i="18"/>
  <c r="C13" i="16"/>
  <c r="A13" i="16"/>
  <c r="A12" i="16"/>
  <c r="A11" i="16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" i="25"/>
  <c r="B12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" i="23"/>
  <c r="B3" i="20"/>
  <c r="O1" i="19"/>
  <c r="D1" i="21" s="1"/>
  <c r="N1" i="19"/>
  <c r="M1" i="19"/>
  <c r="AB1" i="22"/>
  <c r="AA1" i="22"/>
  <c r="Z1" i="22"/>
  <c r="Y1" i="22"/>
  <c r="X1" i="22"/>
  <c r="W1" i="22"/>
  <c r="V1" i="22"/>
  <c r="U1" i="22"/>
  <c r="T1" i="22"/>
  <c r="S1" i="22"/>
  <c r="P1" i="21"/>
  <c r="O1" i="21"/>
  <c r="N1" i="21"/>
  <c r="M1" i="21"/>
  <c r="L1" i="21"/>
  <c r="K1" i="21"/>
  <c r="J1" i="21"/>
  <c r="I1" i="21"/>
  <c r="H1" i="21"/>
  <c r="G1" i="21"/>
  <c r="F1" i="21"/>
  <c r="E1" i="21"/>
  <c r="B1" i="21"/>
  <c r="C1" i="21"/>
  <c r="D26" i="18" l="1"/>
  <c r="O15" i="19"/>
  <c r="H16" i="19"/>
  <c r="B17" i="19"/>
  <c r="M17" i="19"/>
  <c r="F18" i="19"/>
  <c r="Q18" i="19"/>
  <c r="K19" i="19"/>
  <c r="D20" i="19"/>
  <c r="Q20" i="19"/>
  <c r="L21" i="19"/>
  <c r="I22" i="19"/>
  <c r="G23" i="19"/>
  <c r="D24" i="19"/>
  <c r="A25" i="19"/>
  <c r="Q25" i="19"/>
  <c r="N26" i="19"/>
  <c r="L27" i="19"/>
  <c r="I28" i="19"/>
  <c r="G29" i="19"/>
  <c r="J30" i="19"/>
  <c r="J31" i="19"/>
  <c r="H32" i="19"/>
  <c r="E33" i="19"/>
  <c r="C34" i="19"/>
  <c r="C35" i="19"/>
  <c r="B36" i="19"/>
  <c r="B37" i="19"/>
  <c r="A38" i="19"/>
  <c r="A39" i="19"/>
  <c r="D40" i="19"/>
  <c r="C41" i="19"/>
  <c r="C42" i="19"/>
  <c r="B43" i="19"/>
  <c r="B44" i="19"/>
  <c r="C45" i="19"/>
  <c r="B46" i="19"/>
  <c r="C47" i="19"/>
  <c r="B48" i="19"/>
  <c r="C49" i="19"/>
  <c r="D50" i="19"/>
  <c r="C51" i="19"/>
  <c r="C52" i="19"/>
  <c r="B53" i="19"/>
  <c r="B54" i="19"/>
  <c r="I55" i="19"/>
  <c r="Q56" i="19"/>
  <c r="F58" i="19"/>
  <c r="N59" i="19"/>
  <c r="F61" i="19"/>
  <c r="K62" i="19"/>
  <c r="C64" i="19"/>
  <c r="K65" i="19"/>
  <c r="D67" i="19"/>
  <c r="B69" i="19"/>
  <c r="E71" i="19"/>
  <c r="G73" i="19"/>
  <c r="J75" i="19"/>
  <c r="L77" i="19"/>
  <c r="O79" i="19"/>
  <c r="F82" i="19"/>
  <c r="A85" i="19"/>
  <c r="P87" i="19"/>
  <c r="C92" i="19"/>
  <c r="Q95" i="19"/>
  <c r="J101" i="19"/>
  <c r="I110" i="19"/>
  <c r="B121" i="19"/>
  <c r="E140" i="19"/>
  <c r="I36" i="19"/>
  <c r="H37" i="19"/>
  <c r="H38" i="19"/>
  <c r="I39" i="19"/>
  <c r="H40" i="19"/>
  <c r="I41" i="19"/>
  <c r="H42" i="19"/>
  <c r="I43" i="19"/>
  <c r="J44" i="19"/>
  <c r="I45" i="19"/>
  <c r="I46" i="19"/>
  <c r="H47" i="19"/>
  <c r="H48" i="19"/>
  <c r="K49" i="19"/>
  <c r="J50" i="19"/>
  <c r="J51" i="19"/>
  <c r="I52" i="19"/>
  <c r="I53" i="19"/>
  <c r="J54" i="19"/>
  <c r="A56" i="19"/>
  <c r="J57" i="19"/>
  <c r="O58" i="19"/>
  <c r="G60" i="19"/>
  <c r="O61" i="19"/>
  <c r="D63" i="19"/>
  <c r="L64" i="19"/>
  <c r="C66" i="19"/>
  <c r="N67" i="19"/>
  <c r="Q69" i="19"/>
  <c r="C72" i="19"/>
  <c r="E74" i="19"/>
  <c r="H76" i="19"/>
  <c r="J78" i="19"/>
  <c r="M80" i="19"/>
  <c r="H83" i="19"/>
  <c r="B86" i="19"/>
  <c r="F89" i="19"/>
  <c r="I93" i="19"/>
  <c r="Q97" i="19"/>
  <c r="O104" i="19"/>
  <c r="D114" i="19"/>
  <c r="G125" i="19"/>
  <c r="N149" i="19"/>
  <c r="L49" i="19"/>
  <c r="K50" i="19"/>
  <c r="K51" i="19"/>
  <c r="L52" i="19"/>
  <c r="K53" i="19"/>
  <c r="O54" i="19"/>
  <c r="D56" i="19"/>
  <c r="L57" i="19"/>
  <c r="C59" i="19"/>
  <c r="I60" i="19"/>
  <c r="Q61" i="19"/>
  <c r="H63" i="19"/>
  <c r="N64" i="19"/>
  <c r="E66" i="19"/>
  <c r="A68" i="19"/>
  <c r="C70" i="19"/>
  <c r="F72" i="19"/>
  <c r="I74" i="19"/>
  <c r="K76" i="19"/>
  <c r="N78" i="19"/>
  <c r="P80" i="19"/>
  <c r="I83" i="19"/>
  <c r="K86" i="19"/>
  <c r="A90" i="19"/>
  <c r="K93" i="19"/>
  <c r="A99" i="19"/>
  <c r="P105" i="19"/>
  <c r="J114" i="19"/>
  <c r="L130" i="19"/>
  <c r="Q200" i="19"/>
  <c r="I200" i="19"/>
  <c r="A200" i="19"/>
  <c r="J199" i="19"/>
  <c r="B199" i="19"/>
  <c r="K198" i="19"/>
  <c r="C198" i="19"/>
  <c r="L197" i="19"/>
  <c r="D197" i="19"/>
  <c r="M196" i="19"/>
  <c r="E196" i="19"/>
  <c r="N195" i="19"/>
  <c r="F195" i="19"/>
  <c r="O194" i="19"/>
  <c r="G194" i="19"/>
  <c r="P193" i="19"/>
  <c r="H193" i="19"/>
  <c r="Q192" i="19"/>
  <c r="I192" i="19"/>
  <c r="A192" i="19"/>
  <c r="J191" i="19"/>
  <c r="B191" i="19"/>
  <c r="K190" i="19"/>
  <c r="C190" i="19"/>
  <c r="L189" i="19"/>
  <c r="D189" i="19"/>
  <c r="M188" i="19"/>
  <c r="E188" i="19"/>
  <c r="N187" i="19"/>
  <c r="F187" i="19"/>
  <c r="O186" i="19"/>
  <c r="G186" i="19"/>
  <c r="P185" i="19"/>
  <c r="H185" i="19"/>
  <c r="Q184" i="19"/>
  <c r="I184" i="19"/>
  <c r="A184" i="19"/>
  <c r="J183" i="19"/>
  <c r="B183" i="19"/>
  <c r="K182" i="19"/>
  <c r="C182" i="19"/>
  <c r="L181" i="19"/>
  <c r="D181" i="19"/>
  <c r="M180" i="19"/>
  <c r="E180" i="19"/>
  <c r="N179" i="19"/>
  <c r="F179" i="19"/>
  <c r="O178" i="19"/>
  <c r="G178" i="19"/>
  <c r="P177" i="19"/>
  <c r="H177" i="19"/>
  <c r="Q176" i="19"/>
  <c r="I176" i="19"/>
  <c r="A176" i="19"/>
  <c r="J175" i="19"/>
  <c r="B175" i="19"/>
  <c r="K174" i="19"/>
  <c r="C174" i="19"/>
  <c r="L173" i="19"/>
  <c r="D173" i="19"/>
  <c r="M172" i="19"/>
  <c r="E172" i="19"/>
  <c r="N171" i="19"/>
  <c r="F171" i="19"/>
  <c r="O170" i="19"/>
  <c r="G170" i="19"/>
  <c r="P169" i="19"/>
  <c r="H169" i="19"/>
  <c r="Q168" i="19"/>
  <c r="I168" i="19"/>
  <c r="A168" i="19"/>
  <c r="J167" i="19"/>
  <c r="B167" i="19"/>
  <c r="K166" i="19"/>
  <c r="C166" i="19"/>
  <c r="L165" i="19"/>
  <c r="D165" i="19"/>
  <c r="M164" i="19"/>
  <c r="E164" i="19"/>
  <c r="N163" i="19"/>
  <c r="F163" i="19"/>
  <c r="O162" i="19"/>
  <c r="G162" i="19"/>
  <c r="P161" i="19"/>
  <c r="H161" i="19"/>
  <c r="P200" i="19"/>
  <c r="H200" i="19"/>
  <c r="Q199" i="19"/>
  <c r="I199" i="19"/>
  <c r="A199" i="19"/>
  <c r="J198" i="19"/>
  <c r="B198" i="19"/>
  <c r="K197" i="19"/>
  <c r="C197" i="19"/>
  <c r="L196" i="19"/>
  <c r="D196" i="19"/>
  <c r="M195" i="19"/>
  <c r="E195" i="19"/>
  <c r="N194" i="19"/>
  <c r="F194" i="19"/>
  <c r="O193" i="19"/>
  <c r="G193" i="19"/>
  <c r="P192" i="19"/>
  <c r="H192" i="19"/>
  <c r="Q191" i="19"/>
  <c r="I191" i="19"/>
  <c r="A191" i="19"/>
  <c r="J190" i="19"/>
  <c r="B190" i="19"/>
  <c r="K189" i="19"/>
  <c r="C189" i="19"/>
  <c r="L188" i="19"/>
  <c r="D188" i="19"/>
  <c r="M187" i="19"/>
  <c r="E187" i="19"/>
  <c r="N186" i="19"/>
  <c r="F186" i="19"/>
  <c r="O185" i="19"/>
  <c r="G185" i="19"/>
  <c r="P184" i="19"/>
  <c r="H184" i="19"/>
  <c r="Q183" i="19"/>
  <c r="I183" i="19"/>
  <c r="A183" i="19"/>
  <c r="J182" i="19"/>
  <c r="B182" i="19"/>
  <c r="K181" i="19"/>
  <c r="C181" i="19"/>
  <c r="L180" i="19"/>
  <c r="D180" i="19"/>
  <c r="M179" i="19"/>
  <c r="E179" i="19"/>
  <c r="N178" i="19"/>
  <c r="F178" i="19"/>
  <c r="O177" i="19"/>
  <c r="G177" i="19"/>
  <c r="P176" i="19"/>
  <c r="H176" i="19"/>
  <c r="Q175" i="19"/>
  <c r="I175" i="19"/>
  <c r="A175" i="19"/>
  <c r="J174" i="19"/>
  <c r="B174" i="19"/>
  <c r="K173" i="19"/>
  <c r="C173" i="19"/>
  <c r="L172" i="19"/>
  <c r="D172" i="19"/>
  <c r="M171" i="19"/>
  <c r="E171" i="19"/>
  <c r="N170" i="19"/>
  <c r="F170" i="19"/>
  <c r="O169" i="19"/>
  <c r="G169" i="19"/>
  <c r="P168" i="19"/>
  <c r="H168" i="19"/>
  <c r="Q167" i="19"/>
  <c r="O200" i="19"/>
  <c r="E200" i="19"/>
  <c r="L199" i="19"/>
  <c r="Q198" i="19"/>
  <c r="G198" i="19"/>
  <c r="N197" i="19"/>
  <c r="B197" i="19"/>
  <c r="I196" i="19"/>
  <c r="P195" i="19"/>
  <c r="D195" i="19"/>
  <c r="K194" i="19"/>
  <c r="A194" i="19"/>
  <c r="F193" i="19"/>
  <c r="M192" i="19"/>
  <c r="C192" i="19"/>
  <c r="H191" i="19"/>
  <c r="O190" i="19"/>
  <c r="E190" i="19"/>
  <c r="J189" i="19"/>
  <c r="Q188" i="19"/>
  <c r="G188" i="19"/>
  <c r="L187" i="19"/>
  <c r="B187" i="19"/>
  <c r="I186" i="19"/>
  <c r="N185" i="19"/>
  <c r="D185" i="19"/>
  <c r="K184" i="19"/>
  <c r="P183" i="19"/>
  <c r="F183" i="19"/>
  <c r="M182" i="19"/>
  <c r="A182" i="19"/>
  <c r="H181" i="19"/>
  <c r="O180" i="19"/>
  <c r="C180" i="19"/>
  <c r="J179" i="19"/>
  <c r="Q178" i="19"/>
  <c r="E178" i="19"/>
  <c r="L177" i="19"/>
  <c r="B177" i="19"/>
  <c r="G176" i="19"/>
  <c r="N175" i="19"/>
  <c r="D175" i="19"/>
  <c r="I174" i="19"/>
  <c r="P173" i="19"/>
  <c r="F173" i="19"/>
  <c r="K172" i="19"/>
  <c r="A172" i="19"/>
  <c r="H171" i="19"/>
  <c r="M170" i="19"/>
  <c r="C170" i="19"/>
  <c r="J169" i="19"/>
  <c r="O168" i="19"/>
  <c r="E168" i="19"/>
  <c r="L167" i="19"/>
  <c r="C167" i="19"/>
  <c r="J166" i="19"/>
  <c r="A166" i="19"/>
  <c r="I165" i="19"/>
  <c r="Q164" i="19"/>
  <c r="H164" i="19"/>
  <c r="P163" i="19"/>
  <c r="G163" i="19"/>
  <c r="N162" i="19"/>
  <c r="E162" i="19"/>
  <c r="M161" i="19"/>
  <c r="D161" i="19"/>
  <c r="M160" i="19"/>
  <c r="E160" i="19"/>
  <c r="N159" i="19"/>
  <c r="F159" i="19"/>
  <c r="O158" i="19"/>
  <c r="G158" i="19"/>
  <c r="P157" i="19"/>
  <c r="H157" i="19"/>
  <c r="Q156" i="19"/>
  <c r="I156" i="19"/>
  <c r="A156" i="19"/>
  <c r="J155" i="19"/>
  <c r="B155" i="19"/>
  <c r="K154" i="19"/>
  <c r="C154" i="19"/>
  <c r="L153" i="19"/>
  <c r="D153" i="19"/>
  <c r="M152" i="19"/>
  <c r="E152" i="19"/>
  <c r="N151" i="19"/>
  <c r="F151" i="19"/>
  <c r="O150" i="19"/>
  <c r="G150" i="19"/>
  <c r="P149" i="19"/>
  <c r="H149" i="19"/>
  <c r="Q148" i="19"/>
  <c r="I148" i="19"/>
  <c r="A148" i="19"/>
  <c r="J147" i="19"/>
  <c r="B147" i="19"/>
  <c r="K146" i="19"/>
  <c r="C146" i="19"/>
  <c r="L145" i="19"/>
  <c r="D145" i="19"/>
  <c r="M144" i="19"/>
  <c r="E144" i="19"/>
  <c r="N200" i="19"/>
  <c r="D200" i="19"/>
  <c r="K199" i="19"/>
  <c r="P198" i="19"/>
  <c r="F198" i="19"/>
  <c r="M197" i="19"/>
  <c r="A197" i="19"/>
  <c r="H196" i="19"/>
  <c r="O195" i="19"/>
  <c r="C195" i="19"/>
  <c r="J194" i="19"/>
  <c r="Q193" i="19"/>
  <c r="E193" i="19"/>
  <c r="L192" i="19"/>
  <c r="B192" i="19"/>
  <c r="G191" i="19"/>
  <c r="N190" i="19"/>
  <c r="D190" i="19"/>
  <c r="I189" i="19"/>
  <c r="P188" i="19"/>
  <c r="F188" i="19"/>
  <c r="K187" i="19"/>
  <c r="A187" i="19"/>
  <c r="H186" i="19"/>
  <c r="M185" i="19"/>
  <c r="C185" i="19"/>
  <c r="J184" i="19"/>
  <c r="O183" i="19"/>
  <c r="E183" i="19"/>
  <c r="L182" i="19"/>
  <c r="Q181" i="19"/>
  <c r="G181" i="19"/>
  <c r="N180" i="19"/>
  <c r="B180" i="19"/>
  <c r="I179" i="19"/>
  <c r="P178" i="19"/>
  <c r="D178" i="19"/>
  <c r="K177" i="19"/>
  <c r="A177" i="19"/>
  <c r="F176" i="19"/>
  <c r="M175" i="19"/>
  <c r="C175" i="19"/>
  <c r="H174" i="19"/>
  <c r="O173" i="19"/>
  <c r="E173" i="19"/>
  <c r="J172" i="19"/>
  <c r="Q171" i="19"/>
  <c r="G171" i="19"/>
  <c r="L170" i="19"/>
  <c r="B170" i="19"/>
  <c r="I169" i="19"/>
  <c r="N168" i="19"/>
  <c r="D168" i="19"/>
  <c r="K167" i="19"/>
  <c r="A167" i="19"/>
  <c r="I166" i="19"/>
  <c r="Q165" i="19"/>
  <c r="H165" i="19"/>
  <c r="P164" i="19"/>
  <c r="G164" i="19"/>
  <c r="O163" i="19"/>
  <c r="E163" i="19"/>
  <c r="M162" i="19"/>
  <c r="D162" i="19"/>
  <c r="L161" i="19"/>
  <c r="C161" i="19"/>
  <c r="L160" i="19"/>
  <c r="D160" i="19"/>
  <c r="M159" i="19"/>
  <c r="E159" i="19"/>
  <c r="N158" i="19"/>
  <c r="F158" i="19"/>
  <c r="O157" i="19"/>
  <c r="G157" i="19"/>
  <c r="P156" i="19"/>
  <c r="H156" i="19"/>
  <c r="Q155" i="19"/>
  <c r="I155" i="19"/>
  <c r="A155" i="19"/>
  <c r="J154" i="19"/>
  <c r="B154" i="19"/>
  <c r="K153" i="19"/>
  <c r="C153" i="19"/>
  <c r="L152" i="19"/>
  <c r="D152" i="19"/>
  <c r="M200" i="19"/>
  <c r="C200" i="19"/>
  <c r="H199" i="19"/>
  <c r="O198" i="19"/>
  <c r="E198" i="19"/>
  <c r="J197" i="19"/>
  <c r="Q196" i="19"/>
  <c r="G196" i="19"/>
  <c r="L195" i="19"/>
  <c r="B195" i="19"/>
  <c r="I194" i="19"/>
  <c r="N193" i="19"/>
  <c r="D193" i="19"/>
  <c r="K192" i="19"/>
  <c r="P191" i="19"/>
  <c r="F191" i="19"/>
  <c r="M190" i="19"/>
  <c r="A190" i="19"/>
  <c r="H189" i="19"/>
  <c r="O188" i="19"/>
  <c r="C188" i="19"/>
  <c r="J187" i="19"/>
  <c r="Q186" i="19"/>
  <c r="E186" i="19"/>
  <c r="L185" i="19"/>
  <c r="B185" i="19"/>
  <c r="G184" i="19"/>
  <c r="N183" i="19"/>
  <c r="D183" i="19"/>
  <c r="I182" i="19"/>
  <c r="P181" i="19"/>
  <c r="F181" i="19"/>
  <c r="K180" i="19"/>
  <c r="A180" i="19"/>
  <c r="H179" i="19"/>
  <c r="M178" i="19"/>
  <c r="C178" i="19"/>
  <c r="J177" i="19"/>
  <c r="O176" i="19"/>
  <c r="E176" i="19"/>
  <c r="L175" i="19"/>
  <c r="Q174" i="19"/>
  <c r="G174" i="19"/>
  <c r="N173" i="19"/>
  <c r="B173" i="19"/>
  <c r="I172" i="19"/>
  <c r="P171" i="19"/>
  <c r="D171" i="19"/>
  <c r="K170" i="19"/>
  <c r="A170" i="19"/>
  <c r="F169" i="19"/>
  <c r="M168" i="19"/>
  <c r="C168" i="19"/>
  <c r="I167" i="19"/>
  <c r="Q166" i="19"/>
  <c r="H166" i="19"/>
  <c r="P165" i="19"/>
  <c r="G165" i="19"/>
  <c r="O164" i="19"/>
  <c r="F164" i="19"/>
  <c r="M163" i="19"/>
  <c r="D163" i="19"/>
  <c r="L162" i="19"/>
  <c r="C162" i="19"/>
  <c r="K161" i="19"/>
  <c r="B161" i="19"/>
  <c r="K160" i="19"/>
  <c r="C160" i="19"/>
  <c r="L159" i="19"/>
  <c r="D159" i="19"/>
  <c r="M158" i="19"/>
  <c r="E158" i="19"/>
  <c r="N157" i="19"/>
  <c r="F157" i="19"/>
  <c r="O156" i="19"/>
  <c r="G156" i="19"/>
  <c r="P155" i="19"/>
  <c r="H155" i="19"/>
  <c r="Q154" i="19"/>
  <c r="I154" i="19"/>
  <c r="A154" i="19"/>
  <c r="J153" i="19"/>
  <c r="B153" i="19"/>
  <c r="K152" i="19"/>
  <c r="C152" i="19"/>
  <c r="L200" i="19"/>
  <c r="N199" i="19"/>
  <c r="M198" i="19"/>
  <c r="O197" i="19"/>
  <c r="N196" i="19"/>
  <c r="K195" i="19"/>
  <c r="M194" i="19"/>
  <c r="L193" i="19"/>
  <c r="N192" i="19"/>
  <c r="M191" i="19"/>
  <c r="L190" i="19"/>
  <c r="N189" i="19"/>
  <c r="K188" i="19"/>
  <c r="O187" i="19"/>
  <c r="L186" i="19"/>
  <c r="K185" i="19"/>
  <c r="M184" i="19"/>
  <c r="L183" i="19"/>
  <c r="N182" i="19"/>
  <c r="M181" i="19"/>
  <c r="J180" i="19"/>
  <c r="L179" i="19"/>
  <c r="K178" i="19"/>
  <c r="M177" i="19"/>
  <c r="L176" i="19"/>
  <c r="K175" i="19"/>
  <c r="M174" i="19"/>
  <c r="J173" i="19"/>
  <c r="N172" i="19"/>
  <c r="K171" i="19"/>
  <c r="J170" i="19"/>
  <c r="L169" i="19"/>
  <c r="K168" i="19"/>
  <c r="M167" i="19"/>
  <c r="N166" i="19"/>
  <c r="O165" i="19"/>
  <c r="B165" i="19"/>
  <c r="C164" i="19"/>
  <c r="H163" i="19"/>
  <c r="I162" i="19"/>
  <c r="J161" i="19"/>
  <c r="O160" i="19"/>
  <c r="A160" i="19"/>
  <c r="G159" i="19"/>
  <c r="J158" i="19"/>
  <c r="M157" i="19"/>
  <c r="B157" i="19"/>
  <c r="E156" i="19"/>
  <c r="K155" i="19"/>
  <c r="N154" i="19"/>
  <c r="Q153" i="19"/>
  <c r="F153" i="19"/>
  <c r="I152" i="19"/>
  <c r="O151" i="19"/>
  <c r="E151" i="19"/>
  <c r="M150" i="19"/>
  <c r="D150" i="19"/>
  <c r="L149" i="19"/>
  <c r="C149" i="19"/>
  <c r="K148" i="19"/>
  <c r="B148" i="19"/>
  <c r="I147" i="19"/>
  <c r="Q146" i="19"/>
  <c r="H146" i="19"/>
  <c r="P145" i="19"/>
  <c r="G145" i="19"/>
  <c r="O144" i="19"/>
  <c r="F144" i="19"/>
  <c r="N143" i="19"/>
  <c r="F143" i="19"/>
  <c r="O142" i="19"/>
  <c r="G142" i="19"/>
  <c r="P141" i="19"/>
  <c r="H141" i="19"/>
  <c r="Q140" i="19"/>
  <c r="I140" i="19"/>
  <c r="A140" i="19"/>
  <c r="J139" i="19"/>
  <c r="B139" i="19"/>
  <c r="K138" i="19"/>
  <c r="C138" i="19"/>
  <c r="L137" i="19"/>
  <c r="D137" i="19"/>
  <c r="M136" i="19"/>
  <c r="E136" i="19"/>
  <c r="N135" i="19"/>
  <c r="F135" i="19"/>
  <c r="O134" i="19"/>
  <c r="G134" i="19"/>
  <c r="P133" i="19"/>
  <c r="H133" i="19"/>
  <c r="Q132" i="19"/>
  <c r="I132" i="19"/>
  <c r="A132" i="19"/>
  <c r="J131" i="19"/>
  <c r="B131" i="19"/>
  <c r="K130" i="19"/>
  <c r="C130" i="19"/>
  <c r="L129" i="19"/>
  <c r="D129" i="19"/>
  <c r="M128" i="19"/>
  <c r="E128" i="19"/>
  <c r="N127" i="19"/>
  <c r="F127" i="19"/>
  <c r="O126" i="19"/>
  <c r="G126" i="19"/>
  <c r="P125" i="19"/>
  <c r="H125" i="19"/>
  <c r="Q124" i="19"/>
  <c r="I124" i="19"/>
  <c r="A124" i="19"/>
  <c r="J123" i="19"/>
  <c r="B123" i="19"/>
  <c r="K122" i="19"/>
  <c r="C122" i="19"/>
  <c r="L121" i="19"/>
  <c r="D121" i="19"/>
  <c r="M120" i="19"/>
  <c r="E120" i="19"/>
  <c r="N119" i="19"/>
  <c r="F119" i="19"/>
  <c r="O118" i="19"/>
  <c r="G118" i="19"/>
  <c r="P117" i="19"/>
  <c r="H117" i="19"/>
  <c r="Q116" i="19"/>
  <c r="I116" i="19"/>
  <c r="A116" i="19"/>
  <c r="J115" i="19"/>
  <c r="B115" i="19"/>
  <c r="K114" i="19"/>
  <c r="C114" i="19"/>
  <c r="L113" i="19"/>
  <c r="D113" i="19"/>
  <c r="M112" i="19"/>
  <c r="E112" i="19"/>
  <c r="N111" i="19"/>
  <c r="F111" i="19"/>
  <c r="O110" i="19"/>
  <c r="G110" i="19"/>
  <c r="P109" i="19"/>
  <c r="H109" i="19"/>
  <c r="Q108" i="19"/>
  <c r="I108" i="19"/>
  <c r="A108" i="19"/>
  <c r="J107" i="19"/>
  <c r="B107" i="19"/>
  <c r="K106" i="19"/>
  <c r="C106" i="19"/>
  <c r="L105" i="19"/>
  <c r="D105" i="19"/>
  <c r="M104" i="19"/>
  <c r="E104" i="19"/>
  <c r="N103" i="19"/>
  <c r="F103" i="19"/>
  <c r="O102" i="19"/>
  <c r="G102" i="19"/>
  <c r="P101" i="19"/>
  <c r="H101" i="19"/>
  <c r="Q100" i="19"/>
  <c r="I100" i="19"/>
  <c r="A100" i="19"/>
  <c r="J99" i="19"/>
  <c r="B99" i="19"/>
  <c r="K98" i="19"/>
  <c r="C98" i="19"/>
  <c r="L97" i="19"/>
  <c r="D97" i="19"/>
  <c r="M96" i="19"/>
  <c r="E96" i="19"/>
  <c r="K200" i="19"/>
  <c r="M199" i="19"/>
  <c r="L198" i="19"/>
  <c r="I197" i="19"/>
  <c r="K196" i="19"/>
  <c r="J195" i="19"/>
  <c r="L194" i="19"/>
  <c r="K193" i="19"/>
  <c r="J192" i="19"/>
  <c r="L191" i="19"/>
  <c r="I190" i="19"/>
  <c r="M189" i="19"/>
  <c r="J188" i="19"/>
  <c r="I187" i="19"/>
  <c r="K186" i="19"/>
  <c r="J185" i="19"/>
  <c r="L184" i="19"/>
  <c r="K183" i="19"/>
  <c r="H182" i="19"/>
  <c r="J181" i="19"/>
  <c r="I180" i="19"/>
  <c r="K179" i="19"/>
  <c r="J178" i="19"/>
  <c r="I177" i="19"/>
  <c r="K176" i="19"/>
  <c r="H175" i="19"/>
  <c r="L174" i="19"/>
  <c r="I173" i="19"/>
  <c r="H172" i="19"/>
  <c r="J171" i="19"/>
  <c r="I170" i="19"/>
  <c r="K169" i="19"/>
  <c r="J168" i="19"/>
  <c r="H167" i="19"/>
  <c r="M166" i="19"/>
  <c r="N165" i="19"/>
  <c r="A165" i="19"/>
  <c r="B164" i="19"/>
  <c r="C163" i="19"/>
  <c r="H162" i="19"/>
  <c r="I161" i="19"/>
  <c r="N160" i="19"/>
  <c r="Q159" i="19"/>
  <c r="C159" i="19"/>
  <c r="I158" i="19"/>
  <c r="L157" i="19"/>
  <c r="A157" i="19"/>
  <c r="D156" i="19"/>
  <c r="G155" i="19"/>
  <c r="M154" i="19"/>
  <c r="P153" i="19"/>
  <c r="E153" i="19"/>
  <c r="H152" i="19"/>
  <c r="M151" i="19"/>
  <c r="D151" i="19"/>
  <c r="L150" i="19"/>
  <c r="C150" i="19"/>
  <c r="K149" i="19"/>
  <c r="B149" i="19"/>
  <c r="J148" i="19"/>
  <c r="J200" i="19"/>
  <c r="G199" i="19"/>
  <c r="I198" i="19"/>
  <c r="H197" i="19"/>
  <c r="J196" i="19"/>
  <c r="I195" i="19"/>
  <c r="H194" i="19"/>
  <c r="J193" i="19"/>
  <c r="G192" i="19"/>
  <c r="K191" i="19"/>
  <c r="H190" i="19"/>
  <c r="G189" i="19"/>
  <c r="I188" i="19"/>
  <c r="H187" i="19"/>
  <c r="J186" i="19"/>
  <c r="I185" i="19"/>
  <c r="F184" i="19"/>
  <c r="H183" i="19"/>
  <c r="G182" i="19"/>
  <c r="I181" i="19"/>
  <c r="H180" i="19"/>
  <c r="G179" i="19"/>
  <c r="I178" i="19"/>
  <c r="F177" i="19"/>
  <c r="J176" i="19"/>
  <c r="G175" i="19"/>
  <c r="F174" i="19"/>
  <c r="H173" i="19"/>
  <c r="G172" i="19"/>
  <c r="I171" i="19"/>
  <c r="H170" i="19"/>
  <c r="E169" i="19"/>
  <c r="G168" i="19"/>
  <c r="G167" i="19"/>
  <c r="L166" i="19"/>
  <c r="M165" i="19"/>
  <c r="N164" i="19"/>
  <c r="G200" i="19"/>
  <c r="C199" i="19"/>
  <c r="F197" i="19"/>
  <c r="Q195" i="19"/>
  <c r="C194" i="19"/>
  <c r="F192" i="19"/>
  <c r="Q190" i="19"/>
  <c r="E189" i="19"/>
  <c r="P187" i="19"/>
  <c r="B186" i="19"/>
  <c r="E184" i="19"/>
  <c r="P182" i="19"/>
  <c r="B181" i="19"/>
  <c r="O179" i="19"/>
  <c r="A178" i="19"/>
  <c r="D176" i="19"/>
  <c r="O174" i="19"/>
  <c r="A173" i="19"/>
  <c r="L171" i="19"/>
  <c r="Q169" i="19"/>
  <c r="F168" i="19"/>
  <c r="P166" i="19"/>
  <c r="J165" i="19"/>
  <c r="D164" i="19"/>
  <c r="A163" i="19"/>
  <c r="Q161" i="19"/>
  <c r="P160" i="19"/>
  <c r="O159" i="19"/>
  <c r="P158" i="19"/>
  <c r="Q157" i="19"/>
  <c r="M156" i="19"/>
  <c r="N155" i="19"/>
  <c r="O154" i="19"/>
  <c r="N153" i="19"/>
  <c r="O152" i="19"/>
  <c r="P151" i="19"/>
  <c r="B151" i="19"/>
  <c r="H150" i="19"/>
  <c r="M149" i="19"/>
  <c r="P148" i="19"/>
  <c r="E148" i="19"/>
  <c r="L147" i="19"/>
  <c r="A147" i="19"/>
  <c r="G146" i="19"/>
  <c r="N145" i="19"/>
  <c r="C145" i="19"/>
  <c r="J144" i="19"/>
  <c r="Q143" i="19"/>
  <c r="H143" i="19"/>
  <c r="P142" i="19"/>
  <c r="F142" i="19"/>
  <c r="N141" i="19"/>
  <c r="E141" i="19"/>
  <c r="M140" i="19"/>
  <c r="D140" i="19"/>
  <c r="L139" i="19"/>
  <c r="C139" i="19"/>
  <c r="J138" i="19"/>
  <c r="A138" i="19"/>
  <c r="I137" i="19"/>
  <c r="Q136" i="19"/>
  <c r="H136" i="19"/>
  <c r="P135" i="19"/>
  <c r="G135" i="19"/>
  <c r="N134" i="19"/>
  <c r="E134" i="19"/>
  <c r="M133" i="19"/>
  <c r="D133" i="19"/>
  <c r="L132" i="19"/>
  <c r="C132" i="19"/>
  <c r="K131" i="19"/>
  <c r="A131" i="19"/>
  <c r="I130" i="19"/>
  <c r="Q129" i="19"/>
  <c r="H129" i="19"/>
  <c r="P128" i="19"/>
  <c r="G128" i="19"/>
  <c r="O127" i="19"/>
  <c r="E127" i="19"/>
  <c r="M126" i="19"/>
  <c r="D126" i="19"/>
  <c r="L125" i="19"/>
  <c r="C125" i="19"/>
  <c r="K124" i="19"/>
  <c r="B124" i="19"/>
  <c r="I123" i="19"/>
  <c r="Q122" i="19"/>
  <c r="H122" i="19"/>
  <c r="P121" i="19"/>
  <c r="G121" i="19"/>
  <c r="O120" i="19"/>
  <c r="F120" i="19"/>
  <c r="M119" i="19"/>
  <c r="D119" i="19"/>
  <c r="L118" i="19"/>
  <c r="C118" i="19"/>
  <c r="K117" i="19"/>
  <c r="B117" i="19"/>
  <c r="J116" i="19"/>
  <c r="Q115" i="19"/>
  <c r="H115" i="19"/>
  <c r="P114" i="19"/>
  <c r="G114" i="19"/>
  <c r="O113" i="19"/>
  <c r="F113" i="19"/>
  <c r="N112" i="19"/>
  <c r="D112" i="19"/>
  <c r="L111" i="19"/>
  <c r="C111" i="19"/>
  <c r="K110" i="19"/>
  <c r="B110" i="19"/>
  <c r="J109" i="19"/>
  <c r="A109" i="19"/>
  <c r="H108" i="19"/>
  <c r="P107" i="19"/>
  <c r="G107" i="19"/>
  <c r="O106" i="19"/>
  <c r="F106" i="19"/>
  <c r="N105" i="19"/>
  <c r="E105" i="19"/>
  <c r="L104" i="19"/>
  <c r="C104" i="19"/>
  <c r="K103" i="19"/>
  <c r="B103" i="19"/>
  <c r="J102" i="19"/>
  <c r="A102" i="19"/>
  <c r="I101" i="19"/>
  <c r="P100" i="19"/>
  <c r="G100" i="19"/>
  <c r="O99" i="19"/>
  <c r="F99" i="19"/>
  <c r="N98" i="19"/>
  <c r="E98" i="19"/>
  <c r="M97" i="19"/>
  <c r="C97" i="19"/>
  <c r="K96" i="19"/>
  <c r="B96" i="19"/>
  <c r="K95" i="19"/>
  <c r="C95" i="19"/>
  <c r="L94" i="19"/>
  <c r="D94" i="19"/>
  <c r="M93" i="19"/>
  <c r="F200" i="19"/>
  <c r="N198" i="19"/>
  <c r="E197" i="19"/>
  <c r="H195" i="19"/>
  <c r="B194" i="19"/>
  <c r="E192" i="19"/>
  <c r="P190" i="19"/>
  <c r="B189" i="19"/>
  <c r="G187" i="19"/>
  <c r="A186" i="19"/>
  <c r="D184" i="19"/>
  <c r="O182" i="19"/>
  <c r="A181" i="19"/>
  <c r="D179" i="19"/>
  <c r="Q177" i="19"/>
  <c r="C176" i="19"/>
  <c r="N174" i="19"/>
  <c r="Q172" i="19"/>
  <c r="C171" i="19"/>
  <c r="N169" i="19"/>
  <c r="B168" i="19"/>
  <c r="O166" i="19"/>
  <c r="F165" i="19"/>
  <c r="A164" i="19"/>
  <c r="Q162" i="19"/>
  <c r="O161" i="19"/>
  <c r="J160" i="19"/>
  <c r="K159" i="19"/>
  <c r="L158" i="19"/>
  <c r="K157" i="19"/>
  <c r="L156" i="19"/>
  <c r="M155" i="19"/>
  <c r="L154" i="19"/>
  <c r="M153" i="19"/>
  <c r="N152" i="19"/>
  <c r="L151" i="19"/>
  <c r="A151" i="19"/>
  <c r="F150" i="19"/>
  <c r="J149" i="19"/>
  <c r="O148" i="19"/>
  <c r="D148" i="19"/>
  <c r="K147" i="19"/>
  <c r="P146" i="19"/>
  <c r="F146" i="19"/>
  <c r="M145" i="19"/>
  <c r="B145" i="19"/>
  <c r="I144" i="19"/>
  <c r="P143" i="19"/>
  <c r="G143" i="19"/>
  <c r="N142" i="19"/>
  <c r="E142" i="19"/>
  <c r="M141" i="19"/>
  <c r="D141" i="19"/>
  <c r="L140" i="19"/>
  <c r="C140" i="19"/>
  <c r="K139" i="19"/>
  <c r="A139" i="19"/>
  <c r="I138" i="19"/>
  <c r="Q137" i="19"/>
  <c r="H137" i="19"/>
  <c r="P136" i="19"/>
  <c r="G136" i="19"/>
  <c r="O135" i="19"/>
  <c r="E135" i="19"/>
  <c r="M134" i="19"/>
  <c r="D134" i="19"/>
  <c r="L133" i="19"/>
  <c r="C133" i="19"/>
  <c r="K132" i="19"/>
  <c r="B132" i="19"/>
  <c r="I131" i="19"/>
  <c r="Q130" i="19"/>
  <c r="H130" i="19"/>
  <c r="P129" i="19"/>
  <c r="G129" i="19"/>
  <c r="O128" i="19"/>
  <c r="F128" i="19"/>
  <c r="M127" i="19"/>
  <c r="D127" i="19"/>
  <c r="L126" i="19"/>
  <c r="C126" i="19"/>
  <c r="K125" i="19"/>
  <c r="B125" i="19"/>
  <c r="J124" i="19"/>
  <c r="Q123" i="19"/>
  <c r="H123" i="19"/>
  <c r="P122" i="19"/>
  <c r="G122" i="19"/>
  <c r="O121" i="19"/>
  <c r="F121" i="19"/>
  <c r="N120" i="19"/>
  <c r="D120" i="19"/>
  <c r="L119" i="19"/>
  <c r="C119" i="19"/>
  <c r="K118" i="19"/>
  <c r="B118" i="19"/>
  <c r="J117" i="19"/>
  <c r="A117" i="19"/>
  <c r="H116" i="19"/>
  <c r="P115" i="19"/>
  <c r="G115" i="19"/>
  <c r="O114" i="19"/>
  <c r="F114" i="19"/>
  <c r="N113" i="19"/>
  <c r="E113" i="19"/>
  <c r="L112" i="19"/>
  <c r="C112" i="19"/>
  <c r="K111" i="19"/>
  <c r="B111" i="19"/>
  <c r="J110" i="19"/>
  <c r="A110" i="19"/>
  <c r="I109" i="19"/>
  <c r="P108" i="19"/>
  <c r="G108" i="19"/>
  <c r="O107" i="19"/>
  <c r="F107" i="19"/>
  <c r="N106" i="19"/>
  <c r="E106" i="19"/>
  <c r="M105" i="19"/>
  <c r="C105" i="19"/>
  <c r="K104" i="19"/>
  <c r="B104" i="19"/>
  <c r="J103" i="19"/>
  <c r="A103" i="19"/>
  <c r="I102" i="19"/>
  <c r="Q101" i="19"/>
  <c r="G101" i="19"/>
  <c r="O100" i="19"/>
  <c r="F100" i="19"/>
  <c r="N99" i="19"/>
  <c r="E99" i="19"/>
  <c r="M98" i="19"/>
  <c r="D98" i="19"/>
  <c r="K97" i="19"/>
  <c r="B97" i="19"/>
  <c r="J96" i="19"/>
  <c r="A96" i="19"/>
  <c r="J95" i="19"/>
  <c r="B95" i="19"/>
  <c r="K94" i="19"/>
  <c r="C94" i="19"/>
  <c r="L93" i="19"/>
  <c r="D93" i="19"/>
  <c r="M92" i="19"/>
  <c r="E92" i="19"/>
  <c r="N91" i="19"/>
  <c r="F91" i="19"/>
  <c r="O90" i="19"/>
  <c r="G90" i="19"/>
  <c r="P89" i="19"/>
  <c r="H89" i="19"/>
  <c r="Q88" i="19"/>
  <c r="I88" i="19"/>
  <c r="A88" i="19"/>
  <c r="J87" i="19"/>
  <c r="B200" i="19"/>
  <c r="H198" i="19"/>
  <c r="P196" i="19"/>
  <c r="G195" i="19"/>
  <c r="M193" i="19"/>
  <c r="D192" i="19"/>
  <c r="G190" i="19"/>
  <c r="A189" i="19"/>
  <c r="D187" i="19"/>
  <c r="Q185" i="19"/>
  <c r="C184" i="19"/>
  <c r="F182" i="19"/>
  <c r="Q180" i="19"/>
  <c r="C179" i="19"/>
  <c r="N177" i="19"/>
  <c r="B176" i="19"/>
  <c r="E174" i="19"/>
  <c r="P172" i="19"/>
  <c r="B171" i="19"/>
  <c r="M169" i="19"/>
  <c r="P167" i="19"/>
  <c r="G166" i="19"/>
  <c r="E165" i="19"/>
  <c r="Q163" i="19"/>
  <c r="P162" i="19"/>
  <c r="N161" i="19"/>
  <c r="I160" i="19"/>
  <c r="J159" i="19"/>
  <c r="K158" i="19"/>
  <c r="J157" i="19"/>
  <c r="K156" i="19"/>
  <c r="L155" i="19"/>
  <c r="H154" i="19"/>
  <c r="I153" i="19"/>
  <c r="J152" i="19"/>
  <c r="K151" i="19"/>
  <c r="Q150" i="19"/>
  <c r="E150" i="19"/>
  <c r="I149" i="19"/>
  <c r="N148" i="19"/>
  <c r="C148" i="19"/>
  <c r="H147" i="19"/>
  <c r="O146" i="19"/>
  <c r="E146" i="19"/>
  <c r="K145" i="19"/>
  <c r="A145" i="19"/>
  <c r="H144" i="19"/>
  <c r="O143" i="19"/>
  <c r="E143" i="19"/>
  <c r="M142" i="19"/>
  <c r="D142" i="19"/>
  <c r="L141" i="19"/>
  <c r="C141" i="19"/>
  <c r="K140" i="19"/>
  <c r="B140" i="19"/>
  <c r="I139" i="19"/>
  <c r="Q138" i="19"/>
  <c r="H138" i="19"/>
  <c r="P137" i="19"/>
  <c r="G137" i="19"/>
  <c r="O136" i="19"/>
  <c r="F136" i="19"/>
  <c r="M135" i="19"/>
  <c r="D135" i="19"/>
  <c r="L134" i="19"/>
  <c r="C134" i="19"/>
  <c r="K133" i="19"/>
  <c r="B133" i="19"/>
  <c r="J132" i="19"/>
  <c r="Q131" i="19"/>
  <c r="H131" i="19"/>
  <c r="P130" i="19"/>
  <c r="G130" i="19"/>
  <c r="O129" i="19"/>
  <c r="F129" i="19"/>
  <c r="N128" i="19"/>
  <c r="D128" i="19"/>
  <c r="L127" i="19"/>
  <c r="C127" i="19"/>
  <c r="K126" i="19"/>
  <c r="B126" i="19"/>
  <c r="J125" i="19"/>
  <c r="A125" i="19"/>
  <c r="H124" i="19"/>
  <c r="P123" i="19"/>
  <c r="G123" i="19"/>
  <c r="O122" i="19"/>
  <c r="F122" i="19"/>
  <c r="N121" i="19"/>
  <c r="E121" i="19"/>
  <c r="L120" i="19"/>
  <c r="C120" i="19"/>
  <c r="K119" i="19"/>
  <c r="B119" i="19"/>
  <c r="J118" i="19"/>
  <c r="A118" i="19"/>
  <c r="I117" i="19"/>
  <c r="P116" i="19"/>
  <c r="G116" i="19"/>
  <c r="O115" i="19"/>
  <c r="F115" i="19"/>
  <c r="N114" i="19"/>
  <c r="E114" i="19"/>
  <c r="M113" i="19"/>
  <c r="C113" i="19"/>
  <c r="K112" i="19"/>
  <c r="B112" i="19"/>
  <c r="P199" i="19"/>
  <c r="D198" i="19"/>
  <c r="O196" i="19"/>
  <c r="A195" i="19"/>
  <c r="I193" i="19"/>
  <c r="O191" i="19"/>
  <c r="F190" i="19"/>
  <c r="N188" i="19"/>
  <c r="C187" i="19"/>
  <c r="F185" i="19"/>
  <c r="B184" i="19"/>
  <c r="E182" i="19"/>
  <c r="P180" i="19"/>
  <c r="B179" i="19"/>
  <c r="E177" i="19"/>
  <c r="P175" i="19"/>
  <c r="D174" i="19"/>
  <c r="O172" i="19"/>
  <c r="A171" i="19"/>
  <c r="D169" i="19"/>
  <c r="O167" i="19"/>
  <c r="F166" i="19"/>
  <c r="C165" i="19"/>
  <c r="L163" i="19"/>
  <c r="K162" i="19"/>
  <c r="G161" i="19"/>
  <c r="H160" i="19"/>
  <c r="I159" i="19"/>
  <c r="H158" i="19"/>
  <c r="I157" i="19"/>
  <c r="J156" i="19"/>
  <c r="F155" i="19"/>
  <c r="G154" i="19"/>
  <c r="H153" i="19"/>
  <c r="G152" i="19"/>
  <c r="J151" i="19"/>
  <c r="P150" i="19"/>
  <c r="B150" i="19"/>
  <c r="G149" i="19"/>
  <c r="M148" i="19"/>
  <c r="Q147" i="19"/>
  <c r="G147" i="19"/>
  <c r="N146" i="19"/>
  <c r="D146" i="19"/>
  <c r="J145" i="19"/>
  <c r="Q144" i="19"/>
  <c r="G144" i="19"/>
  <c r="M143" i="19"/>
  <c r="D143" i="19"/>
  <c r="L142" i="19"/>
  <c r="C142" i="19"/>
  <c r="K141" i="19"/>
  <c r="B141" i="19"/>
  <c r="J140" i="19"/>
  <c r="Q139" i="19"/>
  <c r="H139" i="19"/>
  <c r="P138" i="19"/>
  <c r="G138" i="19"/>
  <c r="O137" i="19"/>
  <c r="F137" i="19"/>
  <c r="N136" i="19"/>
  <c r="D136" i="19"/>
  <c r="L135" i="19"/>
  <c r="C135" i="19"/>
  <c r="K134" i="19"/>
  <c r="B134" i="19"/>
  <c r="J133" i="19"/>
  <c r="A133" i="19"/>
  <c r="H132" i="19"/>
  <c r="P131" i="19"/>
  <c r="G131" i="19"/>
  <c r="O130" i="19"/>
  <c r="F130" i="19"/>
  <c r="N129" i="19"/>
  <c r="E129" i="19"/>
  <c r="L128" i="19"/>
  <c r="C128" i="19"/>
  <c r="K127" i="19"/>
  <c r="B127" i="19"/>
  <c r="J126" i="19"/>
  <c r="A126" i="19"/>
  <c r="I125" i="19"/>
  <c r="P124" i="19"/>
  <c r="G124" i="19"/>
  <c r="O123" i="19"/>
  <c r="O199" i="19"/>
  <c r="A198" i="19"/>
  <c r="F196" i="19"/>
  <c r="Q194" i="19"/>
  <c r="C193" i="19"/>
  <c r="N191" i="19"/>
  <c r="Q189" i="19"/>
  <c r="H188" i="19"/>
  <c r="P186" i="19"/>
  <c r="E185" i="19"/>
  <c r="M183" i="19"/>
  <c r="D182" i="19"/>
  <c r="G180" i="19"/>
  <c r="A179" i="19"/>
  <c r="D177" i="19"/>
  <c r="O175" i="19"/>
  <c r="A174" i="19"/>
  <c r="F172" i="19"/>
  <c r="Q170" i="19"/>
  <c r="C169" i="19"/>
  <c r="N167" i="19"/>
  <c r="E166" i="19"/>
  <c r="L164" i="19"/>
  <c r="K163" i="19"/>
  <c r="J162" i="19"/>
  <c r="F161" i="19"/>
  <c r="G160" i="19"/>
  <c r="H159" i="19"/>
  <c r="D158" i="19"/>
  <c r="E157" i="19"/>
  <c r="F156" i="19"/>
  <c r="E155" i="19"/>
  <c r="F154" i="19"/>
  <c r="G153" i="19"/>
  <c r="F152" i="19"/>
  <c r="I151" i="19"/>
  <c r="N150" i="19"/>
  <c r="A150" i="19"/>
  <c r="F149" i="19"/>
  <c r="L148" i="19"/>
  <c r="P147" i="19"/>
  <c r="F147" i="19"/>
  <c r="M146" i="19"/>
  <c r="B146" i="19"/>
  <c r="I145" i="19"/>
  <c r="P144" i="19"/>
  <c r="D144" i="19"/>
  <c r="L143" i="19"/>
  <c r="C143" i="19"/>
  <c r="K142" i="19"/>
  <c r="B142" i="19"/>
  <c r="J141" i="19"/>
  <c r="A141" i="19"/>
  <c r="H140" i="19"/>
  <c r="P139" i="19"/>
  <c r="G139" i="19"/>
  <c r="O138" i="19"/>
  <c r="F138" i="19"/>
  <c r="N137" i="19"/>
  <c r="E137" i="19"/>
  <c r="L136" i="19"/>
  <c r="E199" i="19"/>
  <c r="P197" i="19"/>
  <c r="F199" i="19"/>
  <c r="E194" i="19"/>
  <c r="P189" i="19"/>
  <c r="C186" i="19"/>
  <c r="N181" i="19"/>
  <c r="C177" i="19"/>
  <c r="G173" i="19"/>
  <c r="A169" i="19"/>
  <c r="K164" i="19"/>
  <c r="A162" i="19"/>
  <c r="A159" i="19"/>
  <c r="C156" i="19"/>
  <c r="O153" i="19"/>
  <c r="G151" i="19"/>
  <c r="E149" i="19"/>
  <c r="M147" i="19"/>
  <c r="Q145" i="19"/>
  <c r="C144" i="19"/>
  <c r="Q142" i="19"/>
  <c r="G141" i="19"/>
  <c r="O139" i="19"/>
  <c r="L138" i="19"/>
  <c r="B137" i="19"/>
  <c r="Q135" i="19"/>
  <c r="P134" i="19"/>
  <c r="N133" i="19"/>
  <c r="M132" i="19"/>
  <c r="L131" i="19"/>
  <c r="J130" i="19"/>
  <c r="I129" i="19"/>
  <c r="H128" i="19"/>
  <c r="G127" i="19"/>
  <c r="E126" i="19"/>
  <c r="D125" i="19"/>
  <c r="C124" i="19"/>
  <c r="C123" i="19"/>
  <c r="D122" i="19"/>
  <c r="H121" i="19"/>
  <c r="I120" i="19"/>
  <c r="J119" i="19"/>
  <c r="N118" i="19"/>
  <c r="O117" i="19"/>
  <c r="C117" i="19"/>
  <c r="D116" i="19"/>
  <c r="E115" i="19"/>
  <c r="I114" i="19"/>
  <c r="J113" i="19"/>
  <c r="O112" i="19"/>
  <c r="P111" i="19"/>
  <c r="D111" i="19"/>
  <c r="H110" i="19"/>
  <c r="M109" i="19"/>
  <c r="B109" i="19"/>
  <c r="E108" i="19"/>
  <c r="K107" i="19"/>
  <c r="P106" i="19"/>
  <c r="B106" i="19"/>
  <c r="H105" i="19"/>
  <c r="N104" i="19"/>
  <c r="Q103" i="19"/>
  <c r="E103" i="19"/>
  <c r="K102" i="19"/>
  <c r="N101" i="19"/>
  <c r="C101" i="19"/>
  <c r="H100" i="19"/>
  <c r="L99" i="19"/>
  <c r="Q98" i="19"/>
  <c r="F98" i="19"/>
  <c r="I97" i="19"/>
  <c r="O96" i="19"/>
  <c r="C96" i="19"/>
  <c r="H95" i="19"/>
  <c r="O94" i="19"/>
  <c r="E94" i="19"/>
  <c r="J93" i="19"/>
  <c r="A93" i="19"/>
  <c r="I92" i="19"/>
  <c r="Q91" i="19"/>
  <c r="H91" i="19"/>
  <c r="P90" i="19"/>
  <c r="F90" i="19"/>
  <c r="N89" i="19"/>
  <c r="E89" i="19"/>
  <c r="M88" i="19"/>
  <c r="D88" i="19"/>
  <c r="L87" i="19"/>
  <c r="C87" i="19"/>
  <c r="L86" i="19"/>
  <c r="D86" i="19"/>
  <c r="M85" i="19"/>
  <c r="E85" i="19"/>
  <c r="N84" i="19"/>
  <c r="F84" i="19"/>
  <c r="O83" i="19"/>
  <c r="G83" i="19"/>
  <c r="P82" i="19"/>
  <c r="H82" i="19"/>
  <c r="Q81" i="19"/>
  <c r="I81" i="19"/>
  <c r="A81" i="19"/>
  <c r="J80" i="19"/>
  <c r="B80" i="19"/>
  <c r="K79" i="19"/>
  <c r="C79" i="19"/>
  <c r="L78" i="19"/>
  <c r="D78" i="19"/>
  <c r="M77" i="19"/>
  <c r="E77" i="19"/>
  <c r="N76" i="19"/>
  <c r="F76" i="19"/>
  <c r="O75" i="19"/>
  <c r="G75" i="19"/>
  <c r="P74" i="19"/>
  <c r="H74" i="19"/>
  <c r="Q73" i="19"/>
  <c r="I73" i="19"/>
  <c r="A73" i="19"/>
  <c r="J72" i="19"/>
  <c r="B72" i="19"/>
  <c r="K71" i="19"/>
  <c r="C71" i="19"/>
  <c r="L70" i="19"/>
  <c r="D70" i="19"/>
  <c r="M69" i="19"/>
  <c r="E69" i="19"/>
  <c r="N68" i="19"/>
  <c r="F68" i="19"/>
  <c r="O67" i="19"/>
  <c r="G67" i="19"/>
  <c r="P66" i="19"/>
  <c r="H66" i="19"/>
  <c r="Q65" i="19"/>
  <c r="I65" i="19"/>
  <c r="A65" i="19"/>
  <c r="J64" i="19"/>
  <c r="B64" i="19"/>
  <c r="K63" i="19"/>
  <c r="C63" i="19"/>
  <c r="L62" i="19"/>
  <c r="D62" i="19"/>
  <c r="M61" i="19"/>
  <c r="E61" i="19"/>
  <c r="N60" i="19"/>
  <c r="F60" i="19"/>
  <c r="O59" i="19"/>
  <c r="G59" i="19"/>
  <c r="P58" i="19"/>
  <c r="H58" i="19"/>
  <c r="Q57" i="19"/>
  <c r="I57" i="19"/>
  <c r="A57" i="19"/>
  <c r="J56" i="19"/>
  <c r="B56" i="19"/>
  <c r="K55" i="19"/>
  <c r="C55" i="19"/>
  <c r="L54" i="19"/>
  <c r="D199" i="19"/>
  <c r="D194" i="19"/>
  <c r="O189" i="19"/>
  <c r="A185" i="19"/>
  <c r="E181" i="19"/>
  <c r="N176" i="19"/>
  <c r="C172" i="19"/>
  <c r="L168" i="19"/>
  <c r="J164" i="19"/>
  <c r="E161" i="19"/>
  <c r="Q158" i="19"/>
  <c r="B156" i="19"/>
  <c r="A153" i="19"/>
  <c r="C151" i="19"/>
  <c r="D149" i="19"/>
  <c r="E147" i="19"/>
  <c r="O145" i="19"/>
  <c r="B144" i="19"/>
  <c r="J142" i="19"/>
  <c r="F141" i="19"/>
  <c r="N139" i="19"/>
  <c r="E138" i="19"/>
  <c r="A137" i="19"/>
  <c r="K135" i="19"/>
  <c r="J134" i="19"/>
  <c r="I133" i="19"/>
  <c r="G132" i="19"/>
  <c r="F131" i="19"/>
  <c r="E130" i="19"/>
  <c r="C129" i="19"/>
  <c r="B128" i="19"/>
  <c r="A127" i="19"/>
  <c r="Q125" i="19"/>
  <c r="O124" i="19"/>
  <c r="N123" i="19"/>
  <c r="A123" i="19"/>
  <c r="B122" i="19"/>
  <c r="C121" i="19"/>
  <c r="H120" i="19"/>
  <c r="I119" i="19"/>
  <c r="M118" i="19"/>
  <c r="N117" i="19"/>
  <c r="O116" i="19"/>
  <c r="C116" i="19"/>
  <c r="D115" i="19"/>
  <c r="H114" i="19"/>
  <c r="I113" i="19"/>
  <c r="J112" i="19"/>
  <c r="O111" i="19"/>
  <c r="A111" i="19"/>
  <c r="F110" i="19"/>
  <c r="L109" i="19"/>
  <c r="O108" i="19"/>
  <c r="D108" i="19"/>
  <c r="I107" i="19"/>
  <c r="M106" i="19"/>
  <c r="A106" i="19"/>
  <c r="G105" i="19"/>
  <c r="J104" i="19"/>
  <c r="P103" i="19"/>
  <c r="D103" i="19"/>
  <c r="H102" i="19"/>
  <c r="M101" i="19"/>
  <c r="B101" i="19"/>
  <c r="E100" i="19"/>
  <c r="K99" i="19"/>
  <c r="P98" i="19"/>
  <c r="Q197" i="19"/>
  <c r="B193" i="19"/>
  <c r="F189" i="19"/>
  <c r="O184" i="19"/>
  <c r="F180" i="19"/>
  <c r="M176" i="19"/>
  <c r="B172" i="19"/>
  <c r="F167" i="19"/>
  <c r="I164" i="19"/>
  <c r="A161" i="19"/>
  <c r="C158" i="19"/>
  <c r="O155" i="19"/>
  <c r="Q152" i="19"/>
  <c r="K150" i="19"/>
  <c r="A149" i="19"/>
  <c r="D147" i="19"/>
  <c r="H145" i="19"/>
  <c r="A144" i="19"/>
  <c r="I142" i="19"/>
  <c r="P140" i="19"/>
  <c r="M139" i="19"/>
  <c r="D138" i="19"/>
  <c r="K136" i="19"/>
  <c r="J135" i="19"/>
  <c r="I134" i="19"/>
  <c r="G133" i="19"/>
  <c r="F132" i="19"/>
  <c r="E131" i="19"/>
  <c r="D130" i="19"/>
  <c r="B129" i="19"/>
  <c r="A128" i="19"/>
  <c r="Q126" i="19"/>
  <c r="O125" i="19"/>
  <c r="G197" i="19"/>
  <c r="A193" i="19"/>
  <c r="B188" i="19"/>
  <c r="N184" i="19"/>
  <c r="Q179" i="19"/>
  <c r="F175" i="19"/>
  <c r="O171" i="19"/>
  <c r="E167" i="19"/>
  <c r="J163" i="19"/>
  <c r="Q160" i="19"/>
  <c r="B158" i="19"/>
  <c r="D155" i="19"/>
  <c r="P152" i="19"/>
  <c r="J150" i="19"/>
  <c r="H148" i="19"/>
  <c r="C147" i="19"/>
  <c r="F145" i="19"/>
  <c r="K143" i="19"/>
  <c r="H142" i="19"/>
  <c r="O140" i="19"/>
  <c r="F139" i="19"/>
  <c r="B138" i="19"/>
  <c r="J136" i="19"/>
  <c r="I135" i="19"/>
  <c r="H134" i="19"/>
  <c r="F133" i="19"/>
  <c r="E132" i="19"/>
  <c r="D131" i="19"/>
  <c r="B130" i="19"/>
  <c r="A129" i="19"/>
  <c r="Q127" i="19"/>
  <c r="P126" i="19"/>
  <c r="N125" i="19"/>
  <c r="M124" i="19"/>
  <c r="L123" i="19"/>
  <c r="M122" i="19"/>
  <c r="Q121" i="19"/>
  <c r="A121" i="19"/>
  <c r="B120" i="19"/>
  <c r="G119" i="19"/>
  <c r="H118" i="19"/>
  <c r="L117" i="19"/>
  <c r="M116" i="19"/>
  <c r="N115" i="19"/>
  <c r="A115" i="19"/>
  <c r="B114" i="19"/>
  <c r="C196" i="19"/>
  <c r="O192" i="19"/>
  <c r="A188" i="19"/>
  <c r="G183" i="19"/>
  <c r="A196" i="19"/>
  <c r="D191" i="19"/>
  <c r="M186" i="19"/>
  <c r="Q182" i="19"/>
  <c r="H178" i="19"/>
  <c r="Q173" i="19"/>
  <c r="D170" i="19"/>
  <c r="B166" i="19"/>
  <c r="F162" i="19"/>
  <c r="P159" i="19"/>
  <c r="C157" i="19"/>
  <c r="E154" i="19"/>
  <c r="Q151" i="19"/>
  <c r="O149" i="19"/>
  <c r="O147" i="19"/>
  <c r="I146" i="19"/>
  <c r="L144" i="19"/>
  <c r="B143" i="19"/>
  <c r="O141" i="19"/>
  <c r="F140" i="19"/>
  <c r="N138" i="19"/>
  <c r="J137" i="19"/>
  <c r="B136" i="19"/>
  <c r="A135" i="19"/>
  <c r="Q133" i="19"/>
  <c r="O132" i="19"/>
  <c r="N131" i="19"/>
  <c r="M130" i="19"/>
  <c r="K129" i="19"/>
  <c r="J128" i="19"/>
  <c r="I127" i="19"/>
  <c r="H126" i="19"/>
  <c r="F125" i="19"/>
  <c r="E124" i="19"/>
  <c r="E123" i="19"/>
  <c r="I122" i="19"/>
  <c r="J121" i="19"/>
  <c r="K120" i="19"/>
  <c r="P119" i="19"/>
  <c r="Q118" i="19"/>
  <c r="D118" i="19"/>
  <c r="E117" i="19"/>
  <c r="F116" i="19"/>
  <c r="K115" i="19"/>
  <c r="L114" i="19"/>
  <c r="P113" i="19"/>
  <c r="Q112" i="19"/>
  <c r="A112" i="19"/>
  <c r="G111" i="19"/>
  <c r="L110" i="19"/>
  <c r="O109" i="19"/>
  <c r="D109" i="19"/>
  <c r="J108" i="19"/>
  <c r="M107" i="19"/>
  <c r="A107" i="19"/>
  <c r="G106" i="19"/>
  <c r="J105" i="19"/>
  <c r="P104" i="19"/>
  <c r="D104" i="19"/>
  <c r="H103" i="19"/>
  <c r="M102" i="19"/>
  <c r="B102" i="19"/>
  <c r="E101" i="19"/>
  <c r="K100" i="19"/>
  <c r="P99" i="19"/>
  <c r="C99" i="19"/>
  <c r="H98" i="19"/>
  <c r="N97" i="19"/>
  <c r="Q96" i="19"/>
  <c r="F96" i="19"/>
  <c r="L95" i="19"/>
  <c r="Q94" i="19"/>
  <c r="G94" i="19"/>
  <c r="N93" i="19"/>
  <c r="C93" i="19"/>
  <c r="K92" i="19"/>
  <c r="B92" i="19"/>
  <c r="J91" i="19"/>
  <c r="A91" i="19"/>
  <c r="I90" i="19"/>
  <c r="Q89" i="19"/>
  <c r="G89" i="19"/>
  <c r="O88" i="19"/>
  <c r="F88" i="19"/>
  <c r="N87" i="19"/>
  <c r="B196" i="19"/>
  <c r="P179" i="19"/>
  <c r="B169" i="19"/>
  <c r="B160" i="19"/>
  <c r="B152" i="19"/>
  <c r="N147" i="19"/>
  <c r="I143" i="19"/>
  <c r="E139" i="19"/>
  <c r="A136" i="19"/>
  <c r="P132" i="19"/>
  <c r="A130" i="19"/>
  <c r="H127" i="19"/>
  <c r="L124" i="19"/>
  <c r="L122" i="19"/>
  <c r="Q120" i="19"/>
  <c r="E119" i="19"/>
  <c r="G117" i="19"/>
  <c r="M115" i="19"/>
  <c r="A114" i="19"/>
  <c r="I112" i="19"/>
  <c r="H111" i="19"/>
  <c r="D110" i="19"/>
  <c r="C109" i="19"/>
  <c r="Q107" i="19"/>
  <c r="L106" i="19"/>
  <c r="K105" i="19"/>
  <c r="H104" i="19"/>
  <c r="G103" i="19"/>
  <c r="D102" i="19"/>
  <c r="A101" i="19"/>
  <c r="Q99" i="19"/>
  <c r="L98" i="19"/>
  <c r="O97" i="19"/>
  <c r="N96" i="19"/>
  <c r="O95" i="19"/>
  <c r="A95" i="19"/>
  <c r="B94" i="19"/>
  <c r="G93" i="19"/>
  <c r="L92" i="19"/>
  <c r="P91" i="19"/>
  <c r="D91" i="19"/>
  <c r="J90" i="19"/>
  <c r="M89" i="19"/>
  <c r="B89" i="19"/>
  <c r="G88" i="19"/>
  <c r="K87" i="19"/>
  <c r="A87" i="19"/>
  <c r="I86" i="19"/>
  <c r="Q85" i="19"/>
  <c r="H85" i="19"/>
  <c r="P84" i="19"/>
  <c r="G84" i="19"/>
  <c r="N83" i="19"/>
  <c r="E83" i="19"/>
  <c r="M82" i="19"/>
  <c r="D82" i="19"/>
  <c r="L81" i="19"/>
  <c r="C81" i="19"/>
  <c r="K80" i="19"/>
  <c r="A80" i="19"/>
  <c r="I79" i="19"/>
  <c r="Q78" i="19"/>
  <c r="H78" i="19"/>
  <c r="P77" i="19"/>
  <c r="G77" i="19"/>
  <c r="O76" i="19"/>
  <c r="E76" i="19"/>
  <c r="M75" i="19"/>
  <c r="D75" i="19"/>
  <c r="L74" i="19"/>
  <c r="C74" i="19"/>
  <c r="K73" i="19"/>
  <c r="B73" i="19"/>
  <c r="I72" i="19"/>
  <c r="Q71" i="19"/>
  <c r="H71" i="19"/>
  <c r="P70" i="19"/>
  <c r="G70" i="19"/>
  <c r="O69" i="19"/>
  <c r="F69" i="19"/>
  <c r="M68" i="19"/>
  <c r="D68" i="19"/>
  <c r="L67" i="19"/>
  <c r="C67" i="19"/>
  <c r="K66" i="19"/>
  <c r="B66" i="19"/>
  <c r="J65" i="19"/>
  <c r="Q64" i="19"/>
  <c r="H64" i="19"/>
  <c r="P63" i="19"/>
  <c r="G63" i="19"/>
  <c r="O62" i="19"/>
  <c r="F62" i="19"/>
  <c r="N61" i="19"/>
  <c r="D61" i="19"/>
  <c r="L60" i="19"/>
  <c r="C60" i="19"/>
  <c r="K59" i="19"/>
  <c r="B59" i="19"/>
  <c r="J58" i="19"/>
  <c r="A58" i="19"/>
  <c r="H57" i="19"/>
  <c r="P56" i="19"/>
  <c r="G56" i="19"/>
  <c r="O55" i="19"/>
  <c r="F55" i="19"/>
  <c r="N54" i="19"/>
  <c r="E54" i="19"/>
  <c r="N53" i="19"/>
  <c r="F53" i="19"/>
  <c r="O52" i="19"/>
  <c r="G52" i="19"/>
  <c r="P51" i="19"/>
  <c r="H51" i="19"/>
  <c r="Q50" i="19"/>
  <c r="I50" i="19"/>
  <c r="A50" i="19"/>
  <c r="J49" i="19"/>
  <c r="B49" i="19"/>
  <c r="K48" i="19"/>
  <c r="C48" i="19"/>
  <c r="L47" i="19"/>
  <c r="D47" i="19"/>
  <c r="M46" i="19"/>
  <c r="E46" i="19"/>
  <c r="N45" i="19"/>
  <c r="F45" i="19"/>
  <c r="O44" i="19"/>
  <c r="G44" i="19"/>
  <c r="P43" i="19"/>
  <c r="H43" i="19"/>
  <c r="Q42" i="19"/>
  <c r="I42" i="19"/>
  <c r="A42" i="19"/>
  <c r="J41" i="19"/>
  <c r="B41" i="19"/>
  <c r="K40" i="19"/>
  <c r="C40" i="19"/>
  <c r="L39" i="19"/>
  <c r="D39" i="19"/>
  <c r="M38" i="19"/>
  <c r="E38" i="19"/>
  <c r="N37" i="19"/>
  <c r="F37" i="19"/>
  <c r="O36" i="19"/>
  <c r="G36" i="19"/>
  <c r="P35" i="19"/>
  <c r="H35" i="19"/>
  <c r="Q34" i="19"/>
  <c r="I34" i="19"/>
  <c r="A34" i="19"/>
  <c r="J33" i="19"/>
  <c r="B33" i="19"/>
  <c r="K32" i="19"/>
  <c r="C32" i="19"/>
  <c r="L31" i="19"/>
  <c r="Q30" i="19"/>
  <c r="I30" i="19"/>
  <c r="N29" i="19"/>
  <c r="F29" i="19"/>
  <c r="O28" i="19"/>
  <c r="G28" i="19"/>
  <c r="P27" i="19"/>
  <c r="H27" i="19"/>
  <c r="Q26" i="19"/>
  <c r="I26" i="19"/>
  <c r="A26" i="19"/>
  <c r="J25" i="19"/>
  <c r="B25" i="19"/>
  <c r="K24" i="19"/>
  <c r="C24" i="19"/>
  <c r="L23" i="19"/>
  <c r="D23" i="19"/>
  <c r="M22" i="19"/>
  <c r="E22" i="19"/>
  <c r="N21" i="19"/>
  <c r="F21" i="19"/>
  <c r="O20" i="19"/>
  <c r="G20" i="19"/>
  <c r="P194" i="19"/>
  <c r="L178" i="19"/>
  <c r="D167" i="19"/>
  <c r="B159" i="19"/>
  <c r="A152" i="19"/>
  <c r="L146" i="19"/>
  <c r="A143" i="19"/>
  <c r="D139" i="19"/>
  <c r="H135" i="19"/>
  <c r="N132" i="19"/>
  <c r="M129" i="19"/>
  <c r="N126" i="19"/>
  <c r="F124" i="19"/>
  <c r="J122" i="19"/>
  <c r="P120" i="19"/>
  <c r="A119" i="19"/>
  <c r="F117" i="19"/>
  <c r="L115" i="19"/>
  <c r="Q113" i="19"/>
  <c r="H112" i="19"/>
  <c r="E111" i="19"/>
  <c r="C110" i="19"/>
  <c r="N108" i="19"/>
  <c r="N107" i="19"/>
  <c r="J106" i="19"/>
  <c r="I105" i="19"/>
  <c r="G104" i="19"/>
  <c r="C103" i="19"/>
  <c r="C102" i="19"/>
  <c r="N100" i="19"/>
  <c r="M99" i="19"/>
  <c r="J98" i="19"/>
  <c r="J97" i="19"/>
  <c r="L96" i="19"/>
  <c r="N95" i="19"/>
  <c r="P94" i="19"/>
  <c r="A94" i="19"/>
  <c r="F93" i="19"/>
  <c r="J92" i="19"/>
  <c r="O91" i="19"/>
  <c r="C91" i="19"/>
  <c r="H90" i="19"/>
  <c r="L89" i="19"/>
  <c r="A89" i="19"/>
  <c r="E88" i="19"/>
  <c r="I87" i="19"/>
  <c r="Q86" i="19"/>
  <c r="H86" i="19"/>
  <c r="P85" i="19"/>
  <c r="G85" i="19"/>
  <c r="O84" i="19"/>
  <c r="E84" i="19"/>
  <c r="M83" i="19"/>
  <c r="D83" i="19"/>
  <c r="L82" i="19"/>
  <c r="C82" i="19"/>
  <c r="K81" i="19"/>
  <c r="B81" i="19"/>
  <c r="I80" i="19"/>
  <c r="Q79" i="19"/>
  <c r="H79" i="19"/>
  <c r="P78" i="19"/>
  <c r="G78" i="19"/>
  <c r="O77" i="19"/>
  <c r="F77" i="19"/>
  <c r="M76" i="19"/>
  <c r="D76" i="19"/>
  <c r="L75" i="19"/>
  <c r="C75" i="19"/>
  <c r="K74" i="19"/>
  <c r="B74" i="19"/>
  <c r="J73" i="19"/>
  <c r="Q72" i="19"/>
  <c r="H72" i="19"/>
  <c r="P71" i="19"/>
  <c r="G71" i="19"/>
  <c r="O70" i="19"/>
  <c r="F70" i="19"/>
  <c r="N69" i="19"/>
  <c r="D69" i="19"/>
  <c r="L68" i="19"/>
  <c r="C68" i="19"/>
  <c r="E191" i="19"/>
  <c r="B178" i="19"/>
  <c r="D166" i="19"/>
  <c r="A158" i="19"/>
  <c r="H151" i="19"/>
  <c r="J146" i="19"/>
  <c r="A142" i="19"/>
  <c r="M138" i="19"/>
  <c r="B135" i="19"/>
  <c r="D132" i="19"/>
  <c r="J129" i="19"/>
  <c r="I126" i="19"/>
  <c r="D124" i="19"/>
  <c r="E122" i="19"/>
  <c r="J120" i="19"/>
  <c r="P118" i="19"/>
  <c r="D117" i="19"/>
  <c r="I115" i="19"/>
  <c r="K113" i="19"/>
  <c r="G112" i="19"/>
  <c r="Q110" i="19"/>
  <c r="Q109" i="19"/>
  <c r="M108" i="19"/>
  <c r="L107" i="19"/>
  <c r="I106" i="19"/>
  <c r="F105" i="19"/>
  <c r="F104" i="19"/>
  <c r="Q102" i="19"/>
  <c r="O101" i="19"/>
  <c r="M100" i="19"/>
  <c r="I99" i="19"/>
  <c r="I98" i="19"/>
  <c r="H97" i="19"/>
  <c r="I96" i="19"/>
  <c r="M95" i="19"/>
  <c r="N94" i="19"/>
  <c r="Q93" i="19"/>
  <c r="E93" i="19"/>
  <c r="H92" i="19"/>
  <c r="M91" i="19"/>
  <c r="B91" i="19"/>
  <c r="E90" i="19"/>
  <c r="K89" i="19"/>
  <c r="P88" i="19"/>
  <c r="C88" i="19"/>
  <c r="H87" i="19"/>
  <c r="P86" i="19"/>
  <c r="G86" i="19"/>
  <c r="O85" i="19"/>
  <c r="F85" i="19"/>
  <c r="M84" i="19"/>
  <c r="D84" i="19"/>
  <c r="L83" i="19"/>
  <c r="C83" i="19"/>
  <c r="K82" i="19"/>
  <c r="B82" i="19"/>
  <c r="J81" i="19"/>
  <c r="Q80" i="19"/>
  <c r="H80" i="19"/>
  <c r="P79" i="19"/>
  <c r="G79" i="19"/>
  <c r="O78" i="19"/>
  <c r="F78" i="19"/>
  <c r="N77" i="19"/>
  <c r="D77" i="19"/>
  <c r="L76" i="19"/>
  <c r="C76" i="19"/>
  <c r="K75" i="19"/>
  <c r="B75" i="19"/>
  <c r="J74" i="19"/>
  <c r="A74" i="19"/>
  <c r="H73" i="19"/>
  <c r="P72" i="19"/>
  <c r="G72" i="19"/>
  <c r="O71" i="19"/>
  <c r="F71" i="19"/>
  <c r="N70" i="19"/>
  <c r="E70" i="19"/>
  <c r="L69" i="19"/>
  <c r="C69" i="19"/>
  <c r="K68" i="19"/>
  <c r="B68" i="19"/>
  <c r="J67" i="19"/>
  <c r="A67" i="19"/>
  <c r="I66" i="19"/>
  <c r="P65" i="19"/>
  <c r="G65" i="19"/>
  <c r="O64" i="19"/>
  <c r="F64" i="19"/>
  <c r="N63" i="19"/>
  <c r="E63" i="19"/>
  <c r="M62" i="19"/>
  <c r="C62" i="19"/>
  <c r="K61" i="19"/>
  <c r="B61" i="19"/>
  <c r="J60" i="19"/>
  <c r="A60" i="19"/>
  <c r="I59" i="19"/>
  <c r="Q58" i="19"/>
  <c r="G58" i="19"/>
  <c r="O57" i="19"/>
  <c r="F57" i="19"/>
  <c r="N56" i="19"/>
  <c r="E56" i="19"/>
  <c r="M55" i="19"/>
  <c r="D55" i="19"/>
  <c r="K54" i="19"/>
  <c r="C54" i="19"/>
  <c r="L53" i="19"/>
  <c r="D53" i="19"/>
  <c r="M52" i="19"/>
  <c r="E52" i="19"/>
  <c r="N51" i="19"/>
  <c r="F51" i="19"/>
  <c r="O50" i="19"/>
  <c r="G50" i="19"/>
  <c r="P49" i="19"/>
  <c r="H49" i="19"/>
  <c r="Q48" i="19"/>
  <c r="I48" i="19"/>
  <c r="A48" i="19"/>
  <c r="J47" i="19"/>
  <c r="B47" i="19"/>
  <c r="K46" i="19"/>
  <c r="C46" i="19"/>
  <c r="L45" i="19"/>
  <c r="D45" i="19"/>
  <c r="M44" i="19"/>
  <c r="E44" i="19"/>
  <c r="N43" i="19"/>
  <c r="F43" i="19"/>
  <c r="O42" i="19"/>
  <c r="G42" i="19"/>
  <c r="P41" i="19"/>
  <c r="H41" i="19"/>
  <c r="Q40" i="19"/>
  <c r="I40" i="19"/>
  <c r="A40" i="19"/>
  <c r="J39" i="19"/>
  <c r="B39" i="19"/>
  <c r="K38" i="19"/>
  <c r="C38" i="19"/>
  <c r="L37" i="19"/>
  <c r="D37" i="19"/>
  <c r="M36" i="19"/>
  <c r="E36" i="19"/>
  <c r="N35" i="19"/>
  <c r="F35" i="19"/>
  <c r="O34" i="19"/>
  <c r="C191" i="19"/>
  <c r="E175" i="19"/>
  <c r="K165" i="19"/>
  <c r="D157" i="19"/>
  <c r="I150" i="19"/>
  <c r="A146" i="19"/>
  <c r="Q141" i="19"/>
  <c r="M137" i="19"/>
  <c r="Q134" i="19"/>
  <c r="O131" i="19"/>
  <c r="Q128" i="19"/>
  <c r="F126" i="19"/>
  <c r="M123" i="19"/>
  <c r="A122" i="19"/>
  <c r="G120" i="19"/>
  <c r="I118" i="19"/>
  <c r="N116" i="19"/>
  <c r="C115" i="19"/>
  <c r="H113" i="19"/>
  <c r="F112" i="19"/>
  <c r="P110" i="19"/>
  <c r="N109" i="19"/>
  <c r="L108" i="19"/>
  <c r="H107" i="19"/>
  <c r="H106" i="19"/>
  <c r="B105" i="19"/>
  <c r="A104" i="19"/>
  <c r="P102" i="19"/>
  <c r="L101" i="19"/>
  <c r="Q187" i="19"/>
  <c r="P174" i="19"/>
  <c r="I163" i="19"/>
  <c r="N156" i="19"/>
  <c r="Q149" i="19"/>
  <c r="E145" i="19"/>
  <c r="I141" i="19"/>
  <c r="K137" i="19"/>
  <c r="F134" i="19"/>
  <c r="M131" i="19"/>
  <c r="K128" i="19"/>
  <c r="M125" i="19"/>
  <c r="K123" i="19"/>
  <c r="M121" i="19"/>
  <c r="A120" i="19"/>
  <c r="F118" i="19"/>
  <c r="L116" i="19"/>
  <c r="Q114" i="19"/>
  <c r="G113" i="19"/>
  <c r="Q111" i="19"/>
  <c r="N110" i="19"/>
  <c r="K109" i="19"/>
  <c r="K108" i="19"/>
  <c r="E107" i="19"/>
  <c r="D106" i="19"/>
  <c r="A105" i="19"/>
  <c r="O103" i="19"/>
  <c r="N102" i="19"/>
  <c r="K101" i="19"/>
  <c r="J100" i="19"/>
  <c r="G99" i="19"/>
  <c r="B98" i="19"/>
  <c r="F97" i="19"/>
  <c r="G96" i="19"/>
  <c r="G95" i="19"/>
  <c r="J94" i="19"/>
  <c r="O93" i="19"/>
  <c r="Q92" i="19"/>
  <c r="F92" i="19"/>
  <c r="K91" i="19"/>
  <c r="N90" i="19"/>
  <c r="C90" i="19"/>
  <c r="I89" i="19"/>
  <c r="L88" i="19"/>
  <c r="Q87" i="19"/>
  <c r="F87" i="19"/>
  <c r="N86" i="19"/>
  <c r="E86" i="19"/>
  <c r="L85" i="19"/>
  <c r="C85" i="19"/>
  <c r="K84" i="19"/>
  <c r="B84" i="19"/>
  <c r="J83" i="19"/>
  <c r="A83" i="19"/>
  <c r="I82" i="19"/>
  <c r="P81" i="19"/>
  <c r="G81" i="19"/>
  <c r="O80" i="19"/>
  <c r="F80" i="19"/>
  <c r="N79" i="19"/>
  <c r="E79" i="19"/>
  <c r="M78" i="19"/>
  <c r="C78" i="19"/>
  <c r="K77" i="19"/>
  <c r="B77" i="19"/>
  <c r="J76" i="19"/>
  <c r="A76" i="19"/>
  <c r="I75" i="19"/>
  <c r="Q74" i="19"/>
  <c r="G74" i="19"/>
  <c r="O73" i="19"/>
  <c r="F73" i="19"/>
  <c r="N72" i="19"/>
  <c r="E72" i="19"/>
  <c r="M71" i="19"/>
  <c r="D71" i="19"/>
  <c r="K70" i="19"/>
  <c r="B70" i="19"/>
  <c r="J69" i="19"/>
  <c r="A69" i="19"/>
  <c r="I68" i="19"/>
  <c r="Q67" i="19"/>
  <c r="H67" i="19"/>
  <c r="O66" i="19"/>
  <c r="F66" i="19"/>
  <c r="D186" i="19"/>
  <c r="F160" i="19"/>
  <c r="K144" i="19"/>
  <c r="A134" i="19"/>
  <c r="J127" i="19"/>
  <c r="I121" i="19"/>
  <c r="K116" i="19"/>
  <c r="P112" i="19"/>
  <c r="F109" i="19"/>
  <c r="Q105" i="19"/>
  <c r="I103" i="19"/>
  <c r="D100" i="19"/>
  <c r="A98" i="19"/>
  <c r="D96" i="19"/>
  <c r="I94" i="19"/>
  <c r="P92" i="19"/>
  <c r="I91" i="19"/>
  <c r="B90" i="19"/>
  <c r="K88" i="19"/>
  <c r="E87" i="19"/>
  <c r="C86" i="19"/>
  <c r="B85" i="19"/>
  <c r="A84" i="19"/>
  <c r="Q82" i="19"/>
  <c r="O81" i="19"/>
  <c r="N80" i="19"/>
  <c r="M79" i="19"/>
  <c r="K78" i="19"/>
  <c r="J77" i="19"/>
  <c r="I76" i="19"/>
  <c r="H75" i="19"/>
  <c r="F74" i="19"/>
  <c r="E73" i="19"/>
  <c r="D72" i="19"/>
  <c r="B71" i="19"/>
  <c r="A70" i="19"/>
  <c r="Q68" i="19"/>
  <c r="P67" i="19"/>
  <c r="B67" i="19"/>
  <c r="D66" i="19"/>
  <c r="H65" i="19"/>
  <c r="M64" i="19"/>
  <c r="A64" i="19"/>
  <c r="F63" i="19"/>
  <c r="J62" i="19"/>
  <c r="P61" i="19"/>
  <c r="C61" i="19"/>
  <c r="H60" i="19"/>
  <c r="M59" i="19"/>
  <c r="A59" i="19"/>
  <c r="E58" i="19"/>
  <c r="K57" i="19"/>
  <c r="O56" i="19"/>
  <c r="C56" i="19"/>
  <c r="H55" i="19"/>
  <c r="M54" i="19"/>
  <c r="C183" i="19"/>
  <c r="O181" i="19"/>
  <c r="P154" i="19"/>
  <c r="N140" i="19"/>
  <c r="E133" i="19"/>
  <c r="E125" i="19"/>
  <c r="Q119" i="19"/>
  <c r="B116" i="19"/>
  <c r="J111" i="19"/>
  <c r="F108" i="19"/>
  <c r="O105" i="19"/>
  <c r="F102" i="19"/>
  <c r="B100" i="19"/>
  <c r="P97" i="19"/>
  <c r="P95" i="19"/>
  <c r="F94" i="19"/>
  <c r="N92" i="19"/>
  <c r="E91" i="19"/>
  <c r="O89" i="19"/>
  <c r="H88" i="19"/>
  <c r="B87" i="19"/>
  <c r="A86" i="19"/>
  <c r="Q84" i="19"/>
  <c r="P83" i="19"/>
  <c r="N82" i="19"/>
  <c r="M81" i="19"/>
  <c r="L80" i="19"/>
  <c r="J79" i="19"/>
  <c r="I78" i="19"/>
  <c r="H77" i="19"/>
  <c r="G76" i="19"/>
  <c r="E75" i="19"/>
  <c r="D74" i="19"/>
  <c r="C73" i="19"/>
  <c r="A72" i="19"/>
  <c r="Q70" i="19"/>
  <c r="P69" i="19"/>
  <c r="O68" i="19"/>
  <c r="M67" i="19"/>
  <c r="N66" i="19"/>
  <c r="A66" i="19"/>
  <c r="E65" i="19"/>
  <c r="K64" i="19"/>
  <c r="O63" i="19"/>
  <c r="B63" i="19"/>
  <c r="H62" i="19"/>
  <c r="L61" i="19"/>
  <c r="Q60" i="19"/>
  <c r="E60" i="19"/>
  <c r="J59" i="19"/>
  <c r="N58" i="19"/>
  <c r="C58" i="19"/>
  <c r="G57" i="19"/>
  <c r="L56" i="19"/>
  <c r="Q55" i="19"/>
  <c r="E55" i="19"/>
  <c r="I54" i="19"/>
  <c r="P53" i="19"/>
  <c r="E53" i="19"/>
  <c r="K52" i="19"/>
  <c r="A52" i="19"/>
  <c r="G51" i="19"/>
  <c r="M50" i="19"/>
  <c r="C50" i="19"/>
  <c r="I49" i="19"/>
  <c r="O48" i="19"/>
  <c r="E48" i="19"/>
  <c r="K47" i="19"/>
  <c r="Q46" i="19"/>
  <c r="G46" i="19"/>
  <c r="M45" i="19"/>
  <c r="B45" i="19"/>
  <c r="I44" i="19"/>
  <c r="O43" i="19"/>
  <c r="D43" i="19"/>
  <c r="K42" i="19"/>
  <c r="Q41" i="19"/>
  <c r="F41" i="19"/>
  <c r="M40" i="19"/>
  <c r="B40" i="19"/>
  <c r="H39" i="19"/>
  <c r="O38" i="19"/>
  <c r="D38" i="19"/>
  <c r="J37" i="19"/>
  <c r="Q36" i="19"/>
  <c r="F36" i="19"/>
  <c r="L35" i="19"/>
  <c r="B35" i="19"/>
  <c r="H34" i="19"/>
  <c r="P33" i="19"/>
  <c r="G33" i="19"/>
  <c r="O32" i="19"/>
  <c r="F32" i="19"/>
  <c r="N31" i="19"/>
  <c r="A31" i="19"/>
  <c r="H30" i="19"/>
  <c r="L29" i="19"/>
  <c r="C29" i="19"/>
  <c r="K28" i="19"/>
  <c r="B28" i="19"/>
  <c r="J27" i="19"/>
  <c r="A27" i="19"/>
  <c r="H26" i="19"/>
  <c r="P25" i="19"/>
  <c r="G25" i="19"/>
  <c r="O24" i="19"/>
  <c r="F24" i="19"/>
  <c r="N23" i="19"/>
  <c r="E23" i="19"/>
  <c r="L22" i="19"/>
  <c r="C22" i="19"/>
  <c r="M173" i="19"/>
  <c r="D154" i="19"/>
  <c r="G140" i="19"/>
  <c r="C131" i="19"/>
  <c r="N124" i="19"/>
  <c r="O119" i="19"/>
  <c r="M114" i="19"/>
  <c r="I111" i="19"/>
  <c r="C108" i="19"/>
  <c r="Q104" i="19"/>
  <c r="E102" i="19"/>
  <c r="H99" i="19"/>
  <c r="G97" i="19"/>
  <c r="I95" i="19"/>
  <c r="P93" i="19"/>
  <c r="G92" i="19"/>
  <c r="Q90" i="19"/>
  <c r="J89" i="19"/>
  <c r="B88" i="19"/>
  <c r="O86" i="19"/>
  <c r="N85" i="19"/>
  <c r="L84" i="19"/>
  <c r="K83" i="19"/>
  <c r="J82" i="19"/>
  <c r="H81" i="19"/>
  <c r="G80" i="19"/>
  <c r="F79" i="19"/>
  <c r="E78" i="19"/>
  <c r="C77" i="19"/>
  <c r="B76" i="19"/>
  <c r="A75" i="19"/>
  <c r="P73" i="19"/>
  <c r="O72" i="19"/>
  <c r="N71" i="19"/>
  <c r="M70" i="19"/>
  <c r="K69" i="19"/>
  <c r="J68" i="19"/>
  <c r="K67" i="19"/>
  <c r="M66" i="19"/>
  <c r="O65" i="19"/>
  <c r="D65" i="19"/>
  <c r="I64" i="19"/>
  <c r="M63" i="19"/>
  <c r="A63" i="19"/>
  <c r="G62" i="19"/>
  <c r="J61" i="19"/>
  <c r="P60" i="19"/>
  <c r="D60" i="19"/>
  <c r="H59" i="19"/>
  <c r="M58" i="19"/>
  <c r="B58" i="19"/>
  <c r="E57" i="19"/>
  <c r="K56" i="19"/>
  <c r="P55" i="19"/>
  <c r="B55" i="19"/>
  <c r="H54" i="19"/>
  <c r="O53" i="19"/>
  <c r="C53" i="19"/>
  <c r="J52" i="19"/>
  <c r="Q51" i="19"/>
  <c r="E51" i="19"/>
  <c r="L50" i="19"/>
  <c r="B50" i="19"/>
  <c r="G49" i="19"/>
  <c r="N48" i="19"/>
  <c r="D48" i="19"/>
  <c r="I47" i="19"/>
  <c r="P46" i="19"/>
  <c r="F46" i="19"/>
  <c r="K45" i="19"/>
  <c r="A45" i="19"/>
  <c r="H44" i="19"/>
  <c r="M43" i="19"/>
  <c r="C43" i="19"/>
  <c r="J42" i="19"/>
  <c r="O41" i="19"/>
  <c r="E41" i="19"/>
  <c r="L40" i="19"/>
  <c r="Q39" i="19"/>
  <c r="G39" i="19"/>
  <c r="N38" i="19"/>
  <c r="B38" i="19"/>
  <c r="I37" i="19"/>
  <c r="P36" i="19"/>
  <c r="D36" i="19"/>
  <c r="K35" i="19"/>
  <c r="A35" i="19"/>
  <c r="G34" i="19"/>
  <c r="O33" i="19"/>
  <c r="F33" i="19"/>
  <c r="N32" i="19"/>
  <c r="E32" i="19"/>
  <c r="M31" i="19"/>
  <c r="P30" i="19"/>
  <c r="G30" i="19"/>
  <c r="K29" i="19"/>
  <c r="B29" i="19"/>
  <c r="J28" i="19"/>
  <c r="A28" i="19"/>
  <c r="I27" i="19"/>
  <c r="P26" i="19"/>
  <c r="G26" i="19"/>
  <c r="O25" i="19"/>
  <c r="F25" i="19"/>
  <c r="N24" i="19"/>
  <c r="E24" i="19"/>
  <c r="M23" i="19"/>
  <c r="C23" i="19"/>
  <c r="K22" i="19"/>
  <c r="B22" i="19"/>
  <c r="J21" i="19"/>
  <c r="A21" i="19"/>
  <c r="I20" i="19"/>
  <c r="Q19" i="19"/>
  <c r="I19" i="19"/>
  <c r="A19" i="19"/>
  <c r="J18" i="19"/>
  <c r="B18" i="19"/>
  <c r="K17" i="19"/>
  <c r="C17" i="19"/>
  <c r="L16" i="19"/>
  <c r="D16" i="19"/>
  <c r="M15" i="19"/>
  <c r="E15" i="19"/>
  <c r="N14" i="19"/>
  <c r="F14" i="19"/>
  <c r="O13" i="19"/>
  <c r="G13" i="19"/>
  <c r="P12" i="19"/>
  <c r="H12" i="19"/>
  <c r="P11" i="19"/>
  <c r="H11" i="19"/>
  <c r="P10" i="19"/>
  <c r="H10" i="19"/>
  <c r="O9" i="19"/>
  <c r="G9" i="19"/>
  <c r="N8" i="19"/>
  <c r="F8" i="19"/>
  <c r="O7" i="19"/>
  <c r="G7" i="19"/>
  <c r="L6" i="19"/>
  <c r="Q5" i="19"/>
  <c r="I5" i="19"/>
  <c r="N4" i="19"/>
  <c r="F4" i="19"/>
  <c r="K3" i="19"/>
  <c r="N2" i="19"/>
  <c r="B163" i="19"/>
  <c r="F148" i="19"/>
  <c r="I136" i="19"/>
  <c r="I128" i="19"/>
  <c r="N122" i="19"/>
  <c r="Q117" i="19"/>
  <c r="B113" i="19"/>
  <c r="E110" i="19"/>
  <c r="C107" i="19"/>
  <c r="M103" i="19"/>
  <c r="D101" i="19"/>
  <c r="O98" i="19"/>
  <c r="P96" i="19"/>
  <c r="D95" i="19"/>
  <c r="H93" i="19"/>
  <c r="A92" i="19"/>
  <c r="K90" i="19"/>
  <c r="C89" i="19"/>
  <c r="M87" i="19"/>
  <c r="J86" i="19"/>
  <c r="I85" i="19"/>
  <c r="H84" i="19"/>
  <c r="F83" i="19"/>
  <c r="E82" i="19"/>
  <c r="D81" i="19"/>
  <c r="C80" i="19"/>
  <c r="A79" i="19"/>
  <c r="Q77" i="19"/>
  <c r="P76" i="19"/>
  <c r="N75" i="19"/>
  <c r="M74" i="19"/>
  <c r="L73" i="19"/>
  <c r="K72" i="19"/>
  <c r="I71" i="19"/>
  <c r="H70" i="19"/>
  <c r="G69" i="19"/>
  <c r="E68" i="19"/>
  <c r="E67" i="19"/>
  <c r="G66" i="19"/>
  <c r="L65" i="19"/>
  <c r="P64" i="19"/>
  <c r="D64" i="19"/>
  <c r="I63" i="19"/>
  <c r="N62" i="19"/>
  <c r="A62" i="19"/>
  <c r="G61" i="19"/>
  <c r="K60" i="19"/>
  <c r="P59" i="19"/>
  <c r="D59" i="19"/>
  <c r="I58" i="19"/>
  <c r="M57" i="19"/>
  <c r="B57" i="19"/>
  <c r="F56" i="19"/>
  <c r="J55" i="19"/>
  <c r="P54" i="19"/>
  <c r="D54" i="19"/>
  <c r="J53" i="19"/>
  <c r="Q52" i="19"/>
  <c r="F52" i="19"/>
  <c r="L51" i="19"/>
  <c r="B51" i="19"/>
  <c r="H50" i="19"/>
  <c r="N49" i="19"/>
  <c r="D49" i="19"/>
  <c r="J48" i="19"/>
  <c r="P47" i="19"/>
  <c r="F47" i="19"/>
  <c r="L46" i="19"/>
  <c r="A46" i="19"/>
  <c r="H45" i="19"/>
  <c r="N44" i="19"/>
  <c r="C44" i="19"/>
  <c r="J43" i="19"/>
  <c r="P42" i="19"/>
  <c r="E42" i="19"/>
  <c r="L41" i="19"/>
  <c r="A41" i="19"/>
  <c r="G40" i="19"/>
  <c r="N39" i="19"/>
  <c r="C39" i="19"/>
  <c r="I38" i="19"/>
  <c r="P37" i="19"/>
  <c r="E37" i="19"/>
  <c r="K36" i="19"/>
  <c r="A36" i="19"/>
  <c r="G35" i="19"/>
  <c r="M34" i="19"/>
  <c r="D34" i="19"/>
  <c r="L33" i="19"/>
  <c r="C33" i="19"/>
  <c r="J32" i="19"/>
  <c r="A32" i="19"/>
  <c r="I31" i="19"/>
  <c r="M30" i="19"/>
  <c r="Q29" i="19"/>
  <c r="H29" i="19"/>
  <c r="P28" i="19"/>
  <c r="F28" i="19"/>
  <c r="N27" i="19"/>
  <c r="E27" i="19"/>
  <c r="M26" i="19"/>
  <c r="D26" i="19"/>
  <c r="L25" i="19"/>
  <c r="C25" i="19"/>
  <c r="J24" i="19"/>
  <c r="A24" i="19"/>
  <c r="I23" i="19"/>
  <c r="Q22" i="19"/>
  <c r="H22" i="19"/>
  <c r="P21" i="19"/>
  <c r="G21" i="19"/>
  <c r="N20" i="19"/>
  <c r="E20" i="19"/>
  <c r="N19" i="19"/>
  <c r="F19" i="19"/>
  <c r="O18" i="19"/>
  <c r="G18" i="19"/>
  <c r="P17" i="19"/>
  <c r="H17" i="19"/>
  <c r="Q16" i="19"/>
  <c r="I16" i="19"/>
  <c r="A16" i="19"/>
  <c r="J15" i="19"/>
  <c r="B15" i="19"/>
  <c r="K14" i="19"/>
  <c r="C14" i="19"/>
  <c r="L13" i="19"/>
  <c r="D13" i="19"/>
  <c r="M12" i="19"/>
  <c r="E12" i="19"/>
  <c r="M11" i="19"/>
  <c r="E11" i="19"/>
  <c r="M10" i="19"/>
  <c r="D10" i="19"/>
  <c r="L9" i="19"/>
  <c r="C9" i="19"/>
  <c r="K8" i="19"/>
  <c r="C8" i="19"/>
  <c r="L7" i="19"/>
  <c r="Q6" i="19"/>
  <c r="I6" i="19"/>
  <c r="N5" i="19"/>
  <c r="F5" i="19"/>
  <c r="K4" i="19"/>
  <c r="P3" i="19"/>
  <c r="H3" i="19"/>
  <c r="B162" i="19"/>
  <c r="N144" i="19"/>
  <c r="C136" i="19"/>
  <c r="P127" i="19"/>
  <c r="K121" i="19"/>
  <c r="M117" i="19"/>
  <c r="A113" i="19"/>
  <c r="G109" i="19"/>
  <c r="Q106" i="19"/>
  <c r="L103" i="19"/>
  <c r="L100" i="19"/>
  <c r="G98" i="19"/>
  <c r="H96" i="19"/>
  <c r="M94" i="19"/>
  <c r="B93" i="19"/>
  <c r="L91" i="19"/>
  <c r="D90" i="19"/>
  <c r="N88" i="19"/>
  <c r="G87" i="19"/>
  <c r="F86" i="19"/>
  <c r="D85" i="19"/>
  <c r="C84" i="19"/>
  <c r="B83" i="19"/>
  <c r="A82" i="19"/>
  <c r="L3" i="19"/>
  <c r="I4" i="19"/>
  <c r="G5" i="19"/>
  <c r="A6" i="19"/>
  <c r="O6" i="19"/>
  <c r="M7" i="19"/>
  <c r="G8" i="19"/>
  <c r="Q8" i="19"/>
  <c r="M9" i="19"/>
  <c r="I10" i="19"/>
  <c r="C11" i="19"/>
  <c r="N11" i="19"/>
  <c r="I12" i="19"/>
  <c r="B13" i="19"/>
  <c r="M13" i="19"/>
  <c r="G14" i="19"/>
  <c r="Q14" i="19"/>
  <c r="K15" i="19"/>
  <c r="E16" i="19"/>
  <c r="O16" i="19"/>
  <c r="I17" i="19"/>
  <c r="C18" i="19"/>
  <c r="M18" i="19"/>
  <c r="G19" i="19"/>
  <c r="A20" i="19"/>
  <c r="L20" i="19"/>
  <c r="H21" i="19"/>
  <c r="D22" i="19"/>
  <c r="A23" i="19"/>
  <c r="P23" i="19"/>
  <c r="M24" i="19"/>
  <c r="K25" i="19"/>
  <c r="J26" i="19"/>
  <c r="F27" i="19"/>
  <c r="D28" i="19"/>
  <c r="A29" i="19"/>
  <c r="P29" i="19"/>
  <c r="F31" i="19"/>
  <c r="B32" i="19"/>
  <c r="Q32" i="19"/>
  <c r="N33" i="19"/>
  <c r="L34" i="19"/>
  <c r="M35" i="19"/>
  <c r="L36" i="19"/>
  <c r="M37" i="19"/>
  <c r="L38" i="19"/>
  <c r="M39" i="19"/>
  <c r="N40" i="19"/>
  <c r="M41" i="19"/>
  <c r="M42" i="19"/>
  <c r="L43" i="19"/>
  <c r="L44" i="19"/>
  <c r="O45" i="19"/>
  <c r="N46" i="19"/>
  <c r="N47" i="19"/>
  <c r="M48" i="19"/>
  <c r="M49" i="19"/>
  <c r="N50" i="19"/>
  <c r="M51" i="19"/>
  <c r="N52" i="19"/>
  <c r="M53" i="19"/>
  <c r="Q54" i="19"/>
  <c r="H56" i="19"/>
  <c r="N57" i="19"/>
  <c r="E59" i="19"/>
  <c r="M60" i="19"/>
  <c r="B62" i="19"/>
  <c r="J63" i="19"/>
  <c r="B65" i="19"/>
  <c r="J66" i="19"/>
  <c r="G68" i="19"/>
  <c r="I70" i="19"/>
  <c r="L72" i="19"/>
  <c r="N74" i="19"/>
  <c r="Q76" i="19"/>
  <c r="B79" i="19"/>
  <c r="E81" i="19"/>
  <c r="Q83" i="19"/>
  <c r="M86" i="19"/>
  <c r="L90" i="19"/>
  <c r="H94" i="19"/>
  <c r="D99" i="19"/>
  <c r="D107" i="19"/>
  <c r="E116" i="19"/>
  <c r="N130" i="19"/>
  <c r="E170" i="19"/>
  <c r="K26" i="19"/>
  <c r="G27" i="19"/>
  <c r="E28" i="19"/>
  <c r="D29" i="19"/>
  <c r="A30" i="19"/>
  <c r="G31" i="19"/>
  <c r="D32" i="19"/>
  <c r="A33" i="19"/>
  <c r="Q33" i="19"/>
  <c r="N34" i="19"/>
  <c r="O35" i="19"/>
  <c r="N36" i="19"/>
  <c r="O37" i="19"/>
  <c r="P38" i="19"/>
  <c r="O39" i="19"/>
  <c r="O40" i="19"/>
  <c r="N41" i="19"/>
  <c r="N42" i="19"/>
  <c r="Q43" i="19"/>
  <c r="P44" i="19"/>
  <c r="P45" i="19"/>
  <c r="O46" i="19"/>
  <c r="O47" i="19"/>
  <c r="P48" i="19"/>
  <c r="O49" i="19"/>
  <c r="P50" i="19"/>
  <c r="O51" i="19"/>
  <c r="P52" i="19"/>
  <c r="Q53" i="19"/>
  <c r="A55" i="19"/>
  <c r="I56" i="19"/>
  <c r="P57" i="19"/>
  <c r="F59" i="19"/>
  <c r="O60" i="19"/>
  <c r="E62" i="19"/>
  <c r="L63" i="19"/>
  <c r="C65" i="19"/>
  <c r="L66" i="19"/>
  <c r="H68" i="19"/>
  <c r="J70" i="19"/>
  <c r="M72" i="19"/>
  <c r="O74" i="19"/>
  <c r="A77" i="19"/>
  <c r="D79" i="19"/>
  <c r="F81" i="19"/>
  <c r="I84" i="19"/>
  <c r="D87" i="19"/>
  <c r="M90" i="19"/>
  <c r="E95" i="19"/>
  <c r="C100" i="19"/>
  <c r="B108" i="19"/>
  <c r="E118" i="19"/>
  <c r="O133" i="19"/>
  <c r="P170" i="19"/>
  <c r="D27" i="18"/>
  <c r="D28" i="18" s="1"/>
  <c r="B11" i="24"/>
  <c r="B5" i="24"/>
  <c r="B7" i="24"/>
  <c r="A1" i="24"/>
  <c r="B13" i="24"/>
  <c r="B4" i="24"/>
  <c r="B6" i="24"/>
  <c r="B14" i="24"/>
  <c r="B8" i="24"/>
  <c r="B9" i="24"/>
  <c r="B2" i="24"/>
  <c r="B10" i="24"/>
  <c r="B3" i="24"/>
  <c r="F24" i="16"/>
  <c r="C24" i="16"/>
  <c r="D24" i="16" s="1"/>
  <c r="F23" i="16"/>
  <c r="C23" i="16"/>
  <c r="D23" i="16" s="1"/>
  <c r="F22" i="16"/>
  <c r="C22" i="16"/>
  <c r="D22" i="16" s="1"/>
  <c r="F21" i="16"/>
  <c r="C21" i="16"/>
  <c r="D21" i="16" s="1"/>
  <c r="F20" i="16"/>
  <c r="C20" i="16"/>
  <c r="D20" i="16" s="1"/>
  <c r="F19" i="16"/>
  <c r="C19" i="16"/>
  <c r="D19" i="16" s="1"/>
  <c r="F18" i="16"/>
  <c r="C18" i="16"/>
  <c r="D18" i="16" s="1"/>
  <c r="F17" i="16"/>
  <c r="C17" i="16"/>
  <c r="D17" i="16" s="1"/>
  <c r="F16" i="16"/>
  <c r="C16" i="16"/>
  <c r="D16" i="16" s="1"/>
  <c r="F15" i="16"/>
  <c r="C15" i="16"/>
  <c r="D15" i="16" s="1"/>
  <c r="F14" i="16"/>
  <c r="D10" i="16"/>
  <c r="D26" i="16" l="1"/>
  <c r="D27" i="16" l="1"/>
  <c r="D28" i="16" s="1"/>
  <c r="G1000" i="5" l="1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D11" i="4" l="1"/>
  <c r="D15" i="3" l="1"/>
  <c r="D17" i="3" l="1"/>
  <c r="D13" i="4"/>
  <c r="D15" i="4"/>
  <c r="D22" i="3"/>
  <c r="D14" i="3"/>
  <c r="D14" i="4"/>
  <c r="D18" i="4"/>
  <c r="D16" i="3"/>
  <c r="D20" i="4"/>
  <c r="D18" i="3"/>
  <c r="D16" i="4"/>
  <c r="D22" i="4"/>
  <c r="D21" i="3"/>
  <c r="D19" i="3"/>
  <c r="D13" i="3"/>
  <c r="D20" i="3"/>
  <c r="D17" i="4"/>
  <c r="D21" i="4"/>
  <c r="D19" i="4"/>
  <c r="D24" i="3" l="1"/>
  <c r="D25" i="3" s="1"/>
  <c r="D26" i="3" s="1"/>
  <c r="D24" i="4"/>
  <c r="D25" i="4" s="1"/>
  <c r="D26" i="4" l="1"/>
</calcChain>
</file>

<file path=xl/sharedStrings.xml><?xml version="1.0" encoding="utf-8"?>
<sst xmlns="http://schemas.openxmlformats.org/spreadsheetml/2006/main" count="146" uniqueCount="99">
  <si>
    <t>Log 5</t>
  </si>
  <si>
    <t>Log 6</t>
  </si>
  <si>
    <t>Log 7</t>
  </si>
  <si>
    <t>Log 8</t>
  </si>
  <si>
    <t>Log 9</t>
  </si>
  <si>
    <t>Log 10</t>
  </si>
  <si>
    <t>Log 11</t>
  </si>
  <si>
    <t>Log 12</t>
  </si>
  <si>
    <t>Your Company Name</t>
  </si>
  <si>
    <t>Address</t>
  </si>
  <si>
    <t>Phone Number</t>
  </si>
  <si>
    <t>Email</t>
  </si>
  <si>
    <t>INVOICE</t>
  </si>
  <si>
    <t>Number</t>
  </si>
  <si>
    <t>Bill To:</t>
  </si>
  <si>
    <t>Date:</t>
  </si>
  <si>
    <t>Description</t>
  </si>
  <si>
    <t>Quantity</t>
  </si>
  <si>
    <t>Unit Price</t>
  </si>
  <si>
    <t>Total</t>
  </si>
  <si>
    <t>Subtotal:</t>
  </si>
  <si>
    <t>Tax (10%):</t>
  </si>
  <si>
    <t>Total:</t>
  </si>
  <si>
    <t>Payment Instructions:</t>
  </si>
  <si>
    <t>[Your Payment Instructions]</t>
  </si>
  <si>
    <t>Date Paid;</t>
  </si>
  <si>
    <t>Via:</t>
  </si>
  <si>
    <t>Date Shipped:</t>
  </si>
  <si>
    <t>RECEIPT</t>
  </si>
  <si>
    <t>Received From:</t>
  </si>
  <si>
    <t>Thank you for your business!</t>
  </si>
  <si>
    <t>PACKING SLIP</t>
  </si>
  <si>
    <t>Ship To:</t>
  </si>
  <si>
    <t>[Packing Slip Date]</t>
  </si>
  <si>
    <t>Item Description</t>
  </si>
  <si>
    <t>Category</t>
  </si>
  <si>
    <t>Supplier</t>
  </si>
  <si>
    <t>Item 1</t>
  </si>
  <si>
    <t>Category 1</t>
  </si>
  <si>
    <t>Supplier A</t>
  </si>
  <si>
    <t>Item 2</t>
  </si>
  <si>
    <t>Category 2</t>
  </si>
  <si>
    <t>Supplier B</t>
  </si>
  <si>
    <t>Item 3</t>
  </si>
  <si>
    <t>Category 3</t>
  </si>
  <si>
    <t>Supplier C</t>
  </si>
  <si>
    <t>Item 4</t>
  </si>
  <si>
    <t>Date</t>
  </si>
  <si>
    <t>First Name</t>
  </si>
  <si>
    <t>Home Phone</t>
  </si>
  <si>
    <t>Mobile Phone</t>
  </si>
  <si>
    <t>Business Phone</t>
  </si>
  <si>
    <t>Business Fax</t>
  </si>
  <si>
    <t>Company</t>
  </si>
  <si>
    <t>Quantity In Stock</t>
  </si>
  <si>
    <t>Cumlative Inventory</t>
  </si>
  <si>
    <t>Helper Column</t>
  </si>
  <si>
    <t>Log 1</t>
  </si>
  <si>
    <t>Log 2</t>
  </si>
  <si>
    <t>Log 3</t>
  </si>
  <si>
    <t>Log 4</t>
  </si>
  <si>
    <t>Update 1</t>
  </si>
  <si>
    <t>Update 2</t>
  </si>
  <si>
    <t>Update 3</t>
  </si>
  <si>
    <t>Anything Log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</si>
  <si>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</si>
  <si>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</si>
  <si>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</si>
  <si>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</si>
  <si>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</si>
  <si>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</si>
  <si>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</si>
  <si>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</si>
  <si>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</si>
  <si>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</si>
  <si>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</si>
  <si>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</si>
  <si>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</si>
  <si>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</si>
  <si>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</si>
  <si>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Middle Name</t>
  </si>
  <si>
    <t>Last Name</t>
  </si>
  <si>
    <t>Title</t>
  </si>
  <si>
    <t>E-mail Address</t>
  </si>
  <si>
    <t>Home Street</t>
  </si>
  <si>
    <t>Home City</t>
  </si>
  <si>
    <t>Home State</t>
  </si>
  <si>
    <t>Home Postal Code</t>
  </si>
  <si>
    <t>Business Street</t>
  </si>
  <si>
    <t>Business City</t>
  </si>
  <si>
    <t>Business State</t>
  </si>
  <si>
    <t>Business Postal Code</t>
  </si>
  <si>
    <t>Other Street</t>
  </si>
  <si>
    <t>Other City</t>
  </si>
  <si>
    <t>Other State</t>
  </si>
  <si>
    <t>Other Postal Code</t>
  </si>
  <si>
    <t>Target Cell</t>
  </si>
  <si>
    <t>Dan D. Northway</t>
  </si>
  <si>
    <t>First Name Middle Name 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</si>
</sst>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\$#,##0.00"/>
  </numFmts>
  <fonts count="2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u/>
      <sz val="10"/>
      <color rgb="FF0000FF"/>
      <name val="Arial"/>
      <family val="2"/>
    </font>
    <font>
      <sz val="9"/>
      <color rgb="FF000000"/>
      <name val="&quot;Google Sans Mono&quot;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8"/>
      <color rgb="FF000000"/>
      <name val="Arial"/>
      <family val="2"/>
      <scheme val="minor"/>
    </font>
    <font>
      <sz val="1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rgb="FF0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3F3F3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4" fillId="0" borderId="0" applyNumberFormat="0" applyFill="0" applyBorder="0" applyAlignment="0" applyProtection="0"/>
  </cellStyleXfs>
  <cellXfs count="69">
    <xf numFmtId="0" fontId="0" fillId="0" borderId="0" xfId="0"/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10" fillId="0" borderId="0" xfId="0" applyFont="1"/>
    <xf numFmtId="0" fontId="12" fillId="0" borderId="0" xfId="0" applyFont="1" applyAlignment="1">
      <alignment horizontal="center"/>
    </xf>
    <xf numFmtId="0" fontId="10" fillId="0" borderId="5" xfId="0" applyFont="1" applyBorder="1"/>
    <xf numFmtId="0" fontId="12" fillId="2" borderId="7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164" fontId="10" fillId="0" borderId="6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0" fontId="3" fillId="0" borderId="0" xfId="0" applyFont="1"/>
    <xf numFmtId="14" fontId="2" fillId="0" borderId="0" xfId="0" applyNumberFormat="1" applyFont="1"/>
    <xf numFmtId="0" fontId="13" fillId="0" borderId="0" xfId="0" applyFont="1"/>
    <xf numFmtId="14" fontId="2" fillId="0" borderId="3" xfId="0" applyNumberFormat="1" applyFont="1" applyBorder="1"/>
    <xf numFmtId="14" fontId="0" fillId="0" borderId="0" xfId="0" applyNumberFormat="1"/>
    <xf numFmtId="0" fontId="8" fillId="0" borderId="0" xfId="0" applyFont="1"/>
    <xf numFmtId="0" fontId="3" fillId="0" borderId="3" xfId="0" applyFont="1" applyBorder="1"/>
    <xf numFmtId="0" fontId="5" fillId="0" borderId="0" xfId="0" applyFont="1" applyAlignment="1">
      <alignment horizontal="left"/>
    </xf>
    <xf numFmtId="0" fontId="0" fillId="0" borderId="0" xfId="0"/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/>
    <xf numFmtId="0" fontId="0" fillId="3" borderId="9" xfId="0" applyFill="1" applyBorder="1"/>
    <xf numFmtId="0" fontId="0" fillId="3" borderId="10" xfId="0" applyFill="1" applyBorder="1"/>
    <xf numFmtId="0" fontId="0" fillId="3" borderId="8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/>
    <xf numFmtId="0" fontId="15" fillId="0" borderId="0" xfId="0" applyFont="1"/>
    <xf numFmtId="0" fontId="16" fillId="0" borderId="0" xfId="0" applyFont="1" applyFill="1"/>
    <xf numFmtId="0" fontId="0" fillId="5" borderId="0" xfId="0" applyFill="1"/>
    <xf numFmtId="0" fontId="0" fillId="5" borderId="14" xfId="0" applyFill="1" applyBorder="1"/>
    <xf numFmtId="0" fontId="0" fillId="0" borderId="15" xfId="0" applyBorder="1"/>
    <xf numFmtId="0" fontId="0" fillId="5" borderId="15" xfId="0" applyFill="1" applyBorder="1"/>
    <xf numFmtId="0" fontId="0" fillId="5" borderId="16" xfId="0" applyFill="1" applyBorder="1"/>
    <xf numFmtId="0" fontId="0" fillId="4" borderId="0" xfId="0" applyFill="1"/>
    <xf numFmtId="0" fontId="0" fillId="4" borderId="0" xfId="0" applyFill="1"/>
    <xf numFmtId="0" fontId="18" fillId="0" borderId="0" xfId="0" applyFont="1"/>
    <xf numFmtId="0" fontId="19" fillId="0" borderId="0" xfId="0" applyFont="1"/>
    <xf numFmtId="0" fontId="14" fillId="0" borderId="0" xfId="2"/>
    <xf numFmtId="0" fontId="20" fillId="4" borderId="0" xfId="0" applyFont="1" applyFill="1"/>
    <xf numFmtId="0" fontId="14" fillId="0" borderId="0" xfId="2" applyAlignment="1">
      <alignment horizontal="center"/>
    </xf>
    <xf numFmtId="0" fontId="0" fillId="0" borderId="0" xfId="0" applyFill="1"/>
  </cellXfs>
  <cellStyles count="3">
    <cellStyle name="Hyperlink" xfId="2" builtinId="8"/>
    <cellStyle name="Normal" xfId="0" builtinId="0"/>
    <cellStyle name="Normal 2" xfId="1" xr:uid="{4AA55E08-5BDF-439E-A66E-CB99A9B66BAF}"/>
  </cellStyles>
  <dxfs count="24"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lightUp">
          <fgColor theme="3" tint="0.89996032593768116"/>
        </patternFill>
      </fill>
      <border>
        <bottom style="thin">
          <color theme="3" tint="0.749961851863155"/>
        </bottom>
      </border>
    </dxf>
    <dxf>
      <fill>
        <patternFill patternType="none">
          <bgColor auto="1"/>
        </patternFill>
      </fill>
    </dxf>
    <dxf>
      <font>
        <b/>
        <i val="0"/>
      </font>
      <fill>
        <patternFill patternType="lightUp">
          <fgColor theme="3" tint="0.89996032593768116"/>
        </patternFill>
      </fill>
    </dxf>
    <dxf>
      <font>
        <b/>
        <i val="0"/>
      </font>
    </dxf>
    <dxf>
      <font>
        <b val="0"/>
        <i val="0"/>
      </font>
      <fill>
        <patternFill patternType="solid">
          <fgColor theme="0"/>
        </patternFill>
      </fill>
      <border>
        <left/>
        <right/>
        <bottom/>
        <vertical/>
        <horizontal/>
      </border>
    </dxf>
    <dxf>
      <font>
        <b val="0"/>
        <i val="0"/>
        <color theme="4" tint="-0.24994659260841701"/>
      </font>
      <border>
        <left style="thin">
          <color theme="3" tint="0.749961851863155"/>
        </left>
        <right style="thin">
          <color theme="3" tint="0.749961851863155"/>
        </right>
        <top style="thick">
          <color theme="3" tint="0.749961851863155"/>
        </top>
        <bottom style="thin">
          <color theme="3" tint="0.749961851863155"/>
        </bottom>
      </border>
    </dxf>
    <dxf>
      <border>
        <left style="thin">
          <color theme="3" tint="0.749961851863155"/>
        </left>
        <right style="thin">
          <color theme="3" tint="0.749961851863155"/>
        </right>
        <top style="thin">
          <color theme="3" tint="0.749961851863155"/>
        </top>
        <bottom style="thin">
          <color theme="3" tint="0.749961851863155"/>
        </bottom>
        <horizontal style="thin">
          <color theme="3" tint="0.749961851863155"/>
        </horizontal>
      </border>
    </dxf>
  </dxfs>
  <tableStyles count="1" defaultTableStyle="TableStyleMedium2" defaultPivotStyle="PivotStyleLight16">
    <tableStyle name="Construction proposal" pivot="0" count="7" xr9:uid="{57434E68-713D-4BD8-B460-B0F475E4147C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lastHeaderCell" dxfId="18"/>
      <tableStyleElement type="lastTotalCell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2</xdr:col>
          <xdr:colOff>177800</xdr:colOff>
          <xdr:row>3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289ABF2-FD1D-0D21-7E01-541B4CB26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Invoices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723900</xdr:colOff>
      <xdr:row>2</xdr:row>
      <xdr:rowOff>0</xdr:rowOff>
    </xdr:from>
    <xdr:ext cx="1047750" cy="1047750"/>
    <xdr:pic>
      <xdr:nvPicPr>
        <xdr:cNvPr id="2" name="image2.png" title="Image">
          <a:extLst>
            <a:ext uri="{FF2B5EF4-FFF2-40B4-BE49-F238E27FC236}">
              <a16:creationId xmlns:a16="http://schemas.microsoft.com/office/drawing/2014/main" id="{CDDB1C79-BB54-406D-A4A8-D5CD1DBABB2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1850" y="390525"/>
          <a:ext cx="1047750" cy="10477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17</xdr:col>
          <xdr:colOff>50800</xdr:colOff>
          <xdr:row>2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ECC30EB6-DFA2-AA1E-DBA3-2287132B1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Exit Invoices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742950</xdr:colOff>
      <xdr:row>0</xdr:row>
      <xdr:rowOff>38100</xdr:rowOff>
    </xdr:from>
    <xdr:ext cx="1047750" cy="1047750"/>
    <xdr:pic>
      <xdr:nvPicPr>
        <xdr:cNvPr id="2" name="image2.pn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790575</xdr:colOff>
      <xdr:row>0</xdr:row>
      <xdr:rowOff>28575</xdr:rowOff>
    </xdr:from>
    <xdr:ext cx="1047750" cy="1047750"/>
    <xdr:pic>
      <xdr:nvPicPr>
        <xdr:cNvPr id="2" name="image2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fed9c0cf3f584e6/Documents/DataMate/Project%20Template%20(97).xlsx" TargetMode="External"/><Relationship Id="rId1" Type="http://schemas.openxmlformats.org/officeDocument/2006/relationships/externalLinkPath" Target="Project%20Template%20(97)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nort\OneDrive\Documents\DataMate\Construction.xltm" TargetMode="External"/><Relationship Id="rId1" Type="http://schemas.openxmlformats.org/officeDocument/2006/relationships/externalLinkPath" Target="file:///C:\Users\dnort\OneDrive\Documents\DataMate\Construction.xlt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f03843795_win32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d Your Own Sheets"/>
      <sheetName val="Vendors"/>
      <sheetName val="ProjectInfo"/>
      <sheetName val="Dashboard"/>
      <sheetName val="PO"/>
      <sheetName val="POView"/>
      <sheetName val="POData"/>
      <sheetName val="POLog"/>
      <sheetName val="SCCO"/>
      <sheetName val="SCCOView"/>
      <sheetName val="SCCOData"/>
      <sheetName val="SCCOLog"/>
      <sheetName val="RFP"/>
      <sheetName val="RFPView"/>
      <sheetName val="RFPData"/>
      <sheetName val="RFPLog"/>
      <sheetName val="Proposal"/>
      <sheetName val="RFPSummary"/>
      <sheetName val="RFPStatus"/>
      <sheetName val="Budget"/>
      <sheetName val="RFI"/>
      <sheetName val="RFIVeiw"/>
      <sheetName val="RFIData"/>
      <sheetName val="RFILog"/>
      <sheetName val="RFIResponse"/>
      <sheetName val="Transmittal"/>
      <sheetName val="TransmittalView"/>
      <sheetName val="SubmittalStatus"/>
      <sheetName val="SubmittalData"/>
      <sheetName val="SubmittalLog"/>
      <sheetName val="Equipment"/>
      <sheetName val="Craft"/>
      <sheetName val="SubmittalSchedule"/>
      <sheetName val="Sheet1"/>
    </sheetNames>
    <sheetDataSet>
      <sheetData sheetId="0" refreshError="1"/>
      <sheetData sheetId="1"/>
      <sheetData sheetId="2">
        <row r="6">
          <cell r="J6" t="str">
            <v>Example Project</v>
          </cell>
          <cell r="R6" t="str">
            <v>Springfield</v>
          </cell>
        </row>
        <row r="7">
          <cell r="R7" t="str">
            <v>Illinois</v>
          </cell>
        </row>
        <row r="8">
          <cell r="R8">
            <v>62523</v>
          </cell>
        </row>
        <row r="11">
          <cell r="P11" t="str">
            <v>IL</v>
          </cell>
        </row>
        <row r="22">
          <cell r="P22" t="str">
            <v>Springfield</v>
          </cell>
        </row>
        <row r="23">
          <cell r="P23" t="str">
            <v>IL</v>
          </cell>
        </row>
        <row r="24">
          <cell r="P24">
            <v>62523</v>
          </cell>
        </row>
      </sheetData>
      <sheetData sheetId="3" refreshError="1"/>
      <sheetData sheetId="4" refreshError="1"/>
      <sheetData sheetId="5">
        <row r="5">
          <cell r="N5">
            <v>0</v>
          </cell>
        </row>
        <row r="6">
          <cell r="N6">
            <v>0</v>
          </cell>
        </row>
        <row r="7">
          <cell r="N7">
            <v>0</v>
          </cell>
        </row>
        <row r="9">
          <cell r="N9">
            <v>0</v>
          </cell>
        </row>
        <row r="12">
          <cell r="N12">
            <v>0</v>
          </cell>
        </row>
        <row r="13">
          <cell r="N13">
            <v>0</v>
          </cell>
        </row>
        <row r="16">
          <cell r="N16">
            <v>0</v>
          </cell>
        </row>
        <row r="17">
          <cell r="N17">
            <v>0</v>
          </cell>
        </row>
        <row r="18">
          <cell r="N18">
            <v>0</v>
          </cell>
        </row>
      </sheetData>
      <sheetData sheetId="6" refreshError="1"/>
      <sheetData sheetId="7" refreshError="1"/>
      <sheetData sheetId="8" refreshError="1"/>
      <sheetData sheetId="9">
        <row r="10">
          <cell r="J10">
            <v>0</v>
          </cell>
        </row>
        <row r="11">
          <cell r="J11">
            <v>0</v>
          </cell>
        </row>
        <row r="12">
          <cell r="J12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2">
          <cell r="J2" t="str">
            <v>Springfield</v>
          </cell>
        </row>
        <row r="3">
          <cell r="J3" t="str">
            <v>IL</v>
          </cell>
        </row>
        <row r="5">
          <cell r="J5">
            <v>62523</v>
          </cell>
        </row>
        <row r="13">
          <cell r="J13" t="str">
            <v>Springfield</v>
          </cell>
        </row>
        <row r="14">
          <cell r="J14" t="str">
            <v>IL</v>
          </cell>
        </row>
        <row r="15">
          <cell r="J15">
            <v>62523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19">
          <cell r="I19" t="e">
            <v>#N/A</v>
          </cell>
        </row>
        <row r="20">
          <cell r="I20" t="e">
            <v>#N/A</v>
          </cell>
        </row>
        <row r="21">
          <cell r="I21" t="e">
            <v>#N/A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ProjectBudget"/>
      <sheetName val="ProjectCodes"/>
      <sheetName val="Contacts"/>
      <sheetName val="Equipment"/>
      <sheetName val="Craft"/>
      <sheetName val="Lists"/>
      <sheetName val="Input1"/>
      <sheetName val="Input2"/>
      <sheetName val="CustomInput"/>
      <sheetName val="View_Print1"/>
      <sheetName val="Log1"/>
      <sheetName val="Update1"/>
      <sheetName val="Data1"/>
      <sheetName val="Summary"/>
      <sheetName val="DIV_01Input"/>
      <sheetName val="SEC_013000"/>
      <sheetName val="DIV_01View_Print"/>
      <sheetName val="DIV_01Log"/>
      <sheetName val="DIV_01Update"/>
      <sheetName val="DIV_01Data"/>
      <sheetName val="SEC_014000"/>
      <sheetName val="SEC_015000"/>
      <sheetName val="SEC_016000"/>
      <sheetName val="SEC_017000"/>
      <sheetName val="SEC_018000"/>
      <sheetName val="SEC_019000"/>
      <sheetName val="DIV_02Input"/>
      <sheetName val="DIV_02View_Print"/>
      <sheetName val="DIV_02Log"/>
      <sheetName val="DIV_02Update"/>
      <sheetName val="DIV_02Data"/>
      <sheetName val="SEC_022000"/>
      <sheetName val="SEC_023000"/>
      <sheetName val="SEC_024000"/>
      <sheetName val="SEC_025000"/>
      <sheetName val="SEC_026000"/>
      <sheetName val="SEC_027000"/>
      <sheetName val="SEC_028000"/>
      <sheetName val="DIV_03Input"/>
      <sheetName val="DIV_03View_Print"/>
      <sheetName val="DIV_03Log"/>
      <sheetName val="DIV_03Update"/>
      <sheetName val="DIV_03Data"/>
      <sheetName val="SEC_031000"/>
      <sheetName val="SEC_032000"/>
      <sheetName val="SEC_033000"/>
      <sheetName val="SEC_034000"/>
      <sheetName val="SEC_035000"/>
      <sheetName val="SEC_036000"/>
      <sheetName val="SEC_037000"/>
      <sheetName val="SEC_038000"/>
      <sheetName val="DIV_04Input"/>
      <sheetName val="DIV_04View_Print"/>
      <sheetName val="DIV_04Log"/>
      <sheetName val="DIV_04Update"/>
      <sheetName val="DIV_04Data"/>
      <sheetName val="SEC_042000"/>
      <sheetName val="SEC_044000"/>
      <sheetName val="SEC_045000"/>
      <sheetName val="SEC_046000"/>
      <sheetName val="SEC_047000"/>
      <sheetName val="DIV_05Input"/>
      <sheetName val="DIV_05View_Print"/>
      <sheetName val="DIV_05Log"/>
      <sheetName val="DIV_05Update"/>
      <sheetName val="DIV_05Data"/>
      <sheetName val="SEC_051000"/>
      <sheetName val="SEC_052000"/>
      <sheetName val="SEC_053000"/>
      <sheetName val="SEC_054000"/>
      <sheetName val="SEC_055000"/>
      <sheetName val="SEC_057000"/>
      <sheetName val="DIV_06Input"/>
      <sheetName val="DIV_06View_Print"/>
      <sheetName val="DIV_06Log"/>
      <sheetName val="DIV_06Update"/>
      <sheetName val="DIV_06Data"/>
      <sheetName val="SEC_061000"/>
      <sheetName val="SEC_062000"/>
      <sheetName val="SEC_064000"/>
      <sheetName val="SEC_065000"/>
      <sheetName val="SEC_066000"/>
      <sheetName val="SEC_067000"/>
      <sheetName val="SEC_068000"/>
      <sheetName val="DIV_07Input"/>
      <sheetName val="DIV_07View_Print"/>
      <sheetName val="DIV_07Log"/>
      <sheetName val="DIV_07Update"/>
      <sheetName val="DIV_07Data"/>
      <sheetName val="SEC_071000"/>
      <sheetName val="SEC_072000"/>
      <sheetName val="SEC_073000"/>
      <sheetName val="SEC_074000"/>
      <sheetName val="SEC_075000"/>
      <sheetName val="SEC_076000"/>
      <sheetName val="SEC_077000"/>
      <sheetName val="SEC_078000"/>
      <sheetName val="SEC_079000"/>
      <sheetName val="DIV_08Input"/>
      <sheetName val="DIV_08View_Print"/>
      <sheetName val="DIV_08Log"/>
      <sheetName val="DIV_08Update"/>
      <sheetName val="DIV_08Data"/>
      <sheetName val="SEC_081000"/>
      <sheetName val="SEC_083000"/>
      <sheetName val="SEC_084000"/>
      <sheetName val="SEC_085000"/>
      <sheetName val="SEC_086000"/>
      <sheetName val="SEC_087000"/>
      <sheetName val="SEC_088000"/>
      <sheetName val="SEC_089000"/>
      <sheetName val="DIV_09Input"/>
      <sheetName val="DIV_09View_Print"/>
      <sheetName val="DIV_09Log"/>
      <sheetName val="DIV_09Update"/>
      <sheetName val="DIV_09Data"/>
      <sheetName val="SEC_092000"/>
      <sheetName val="SEC_093000"/>
      <sheetName val="SEC_095000"/>
      <sheetName val="SEC_096000"/>
      <sheetName val="SEC_097000"/>
      <sheetName val="SEC_098000"/>
      <sheetName val="SEC_099000"/>
      <sheetName val="DIV_10Input"/>
      <sheetName val="DIV_10View_Print"/>
      <sheetName val="DIV_10Log"/>
      <sheetName val="DIV_10Update"/>
      <sheetName val="DIV_10Data"/>
      <sheetName val="SEC_101000"/>
      <sheetName val="SEC_102000"/>
      <sheetName val="SEC_103000"/>
      <sheetName val="SEC_104000"/>
      <sheetName val="SEC_105000"/>
      <sheetName val="SEC_107000"/>
      <sheetName val="SEC_108000"/>
      <sheetName val="DIV_11Input"/>
      <sheetName val="DIV_11View_Print"/>
      <sheetName val="DIV_11Log"/>
      <sheetName val="DIV_11Update"/>
      <sheetName val="DIV_11Data"/>
      <sheetName val="SEC_111000"/>
      <sheetName val="SEC_112000"/>
      <sheetName val="SEC_113000"/>
      <sheetName val="SEC_114000"/>
      <sheetName val="SEC_115000"/>
      <sheetName val="SEC_116000"/>
      <sheetName val="SEC_117000"/>
      <sheetName val="SEC_118000"/>
      <sheetName val="DIV_12Input"/>
      <sheetName val="DIV_12View_Print"/>
      <sheetName val="DIV_12Log"/>
      <sheetName val="DIV_12Update"/>
      <sheetName val="DIV_12Data"/>
      <sheetName val="SEC_121000"/>
      <sheetName val="SEC_122000"/>
      <sheetName val="SEC_123000"/>
      <sheetName val="SEC_124000"/>
      <sheetName val="SEC_125000"/>
      <sheetName val="SEC_126000"/>
      <sheetName val="SEC_129000"/>
      <sheetName val="DIV_13Input"/>
      <sheetName val="DIV_13View_Print"/>
      <sheetName val="DIV_13Log"/>
      <sheetName val="DIV_13Update"/>
      <sheetName val="DIV_13Data"/>
      <sheetName val="SEC_131000"/>
      <sheetName val="SEC_132000"/>
      <sheetName val="SEC_133000"/>
      <sheetName val="SEC_134000"/>
      <sheetName val="SEC_135000"/>
      <sheetName val="DIV_14Input"/>
      <sheetName val="DIV_14View_Print"/>
      <sheetName val="DIV_14Log"/>
      <sheetName val="DIV_14Update"/>
      <sheetName val="DIV_14Data"/>
      <sheetName val="SEC_141000"/>
      <sheetName val="SEC_142000"/>
      <sheetName val="SEC_143000"/>
      <sheetName val="SEC_144000"/>
      <sheetName val="SEC_147000"/>
      <sheetName val="SEC_148000"/>
      <sheetName val="SEC_149000"/>
      <sheetName val="DIV_21Input"/>
      <sheetName val="DIV_21View_Print"/>
      <sheetName val="DIV_21Log"/>
      <sheetName val="DIV_21Update"/>
      <sheetName val="DIV_21Data"/>
      <sheetName val="SEC_211000"/>
      <sheetName val="SEC_212000"/>
      <sheetName val="SEC_213000"/>
      <sheetName val="DIV_22Input"/>
      <sheetName val="DIV_22View_Print"/>
      <sheetName val="DIV_22Log"/>
      <sheetName val="DIV_22Update"/>
      <sheetName val="DIV_22Data"/>
      <sheetName val="SEC_221000"/>
      <sheetName val="SEC_223000"/>
      <sheetName val="SEC_224000"/>
      <sheetName val="SEC_225000"/>
      <sheetName val="SEC_226000"/>
      <sheetName val="DIV_23Input"/>
      <sheetName val="DIV_23View_Print"/>
      <sheetName val="DIV_23Log"/>
      <sheetName val="DIV_23Update"/>
      <sheetName val="DIV_23Data"/>
      <sheetName val="SEC_231000"/>
      <sheetName val="SEC_232000"/>
      <sheetName val="SEC_233000"/>
      <sheetName val="SEC_234000"/>
      <sheetName val="SEC_235000"/>
      <sheetName val="SEC_236000"/>
      <sheetName val="SEC_237000"/>
      <sheetName val="SEC_238000"/>
      <sheetName val="DIV_26Input"/>
      <sheetName val="DIV_26View_Print"/>
      <sheetName val="DIV_26Log"/>
      <sheetName val="DIV_26Update"/>
      <sheetName val="DIV_26Data"/>
      <sheetName val="SEC_262000"/>
      <sheetName val="SEC_261000"/>
      <sheetName val="SEC_263000"/>
      <sheetName val="SEC_264000"/>
      <sheetName val="SEC_265000"/>
      <sheetName val="DIV_27Input"/>
      <sheetName val="DIV_27View_Print"/>
      <sheetName val="DIV_27Log"/>
      <sheetName val="DIV_27Update"/>
      <sheetName val="DIV_27Data"/>
      <sheetName val="SEC_271000"/>
      <sheetName val="SEC_272000"/>
      <sheetName val="SEC_273000"/>
      <sheetName val="SEC_274000"/>
      <sheetName val="SEC_275000"/>
      <sheetName val="DIV_28Input"/>
      <sheetName val="DIV_28View_Print"/>
      <sheetName val="DIV_28Log"/>
      <sheetName val="DIV_28Update"/>
      <sheetName val="DIV_28Data"/>
      <sheetName val="SEC_281000"/>
      <sheetName val="SEC_282000"/>
      <sheetName val="SEC_283000"/>
      <sheetName val="SEC_284000"/>
      <sheetName val="SEC_285000"/>
      <sheetName val="DIV_31Input"/>
      <sheetName val="DIV_31View_Print"/>
      <sheetName val="DIV_31Log"/>
      <sheetName val="DIV_31Update"/>
      <sheetName val="DIV_31Data"/>
      <sheetName val="SEC_311000"/>
      <sheetName val="SEC_312000"/>
      <sheetName val="SEC_313000"/>
      <sheetName val="SEC_314000"/>
      <sheetName val="SEC_315000"/>
      <sheetName val="SEC_316000"/>
      <sheetName val="SEC_317000"/>
      <sheetName val="DIV_32Input"/>
      <sheetName val="DIV_32View_Print"/>
      <sheetName val="DIV_32Log"/>
      <sheetName val="DIV_32Update"/>
      <sheetName val="DIV_32Data"/>
      <sheetName val="SEC_321000"/>
      <sheetName val="SEC_323000"/>
      <sheetName val="SEC_327000"/>
      <sheetName val="SEC_328000"/>
      <sheetName val="SEC_329000"/>
      <sheetName val="DIV_33Input"/>
      <sheetName val="DIV_33View_Print"/>
      <sheetName val="DIV_33Log"/>
      <sheetName val="DIV_33Update"/>
      <sheetName val="DIV_33Data"/>
      <sheetName val="POsInput1"/>
      <sheetName val="POsInput"/>
      <sheetName val="POsView_Print"/>
      <sheetName val="POsLog"/>
      <sheetName val="POsUpdate"/>
      <sheetName val="POsData"/>
      <sheetName val="RFIInput1"/>
      <sheetName val="RFIInput"/>
      <sheetName val="RFILog"/>
      <sheetName val="RFIView_Print"/>
      <sheetName val="RFIUpdate"/>
      <sheetName val="RFIData"/>
      <sheetName val="SubmittalInput1"/>
      <sheetName val="SubmittalInput"/>
      <sheetName val="SubmittalLog"/>
      <sheetName val="SubmittalView_Print"/>
      <sheetName val="SubmittalUpdate"/>
      <sheetName val="SubmittalData"/>
      <sheetName val="SubmittalSchedule"/>
      <sheetName val="Gantt Chart"/>
      <sheetName val="RFPInput1"/>
      <sheetName val="RFPInput"/>
      <sheetName val="RFPView_Print"/>
      <sheetName val="RFPLog"/>
      <sheetName val="RFPUpdate"/>
      <sheetName val="RFPData"/>
      <sheetName val="Budget"/>
      <sheetName val="RFPSummary"/>
      <sheetName val="SCCOInput1"/>
      <sheetName val="SCCOInput"/>
      <sheetName val="SCCOView_Print"/>
      <sheetName val="SCCOLog"/>
      <sheetName val="SCCOUpdate"/>
      <sheetName val="SCCOData"/>
      <sheetName val="Minutes1"/>
      <sheetName val="RollingActionItemLog"/>
      <sheetName val="MinutesInput"/>
      <sheetName val="MinutesView_Print"/>
      <sheetName val="MinutesLog"/>
      <sheetName val="MinutesUpdate"/>
      <sheetName val="Minutes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>
        <row r="1">
          <cell r="Q1">
            <v>45640</v>
          </cell>
        </row>
        <row r="2">
          <cell r="Q2">
            <v>1</v>
          </cell>
        </row>
      </sheetData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osal"/>
      <sheetName val="tf03843795_win322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439ECB-1213-4913-97B0-48818EFFB26B}" name="Table1" displayName="Table1" ref="A9:O10" insertRow="1" totalsRowShown="0" headerRowDxfId="1" dataDxfId="0" headerRowCellStyle="Normal" dataCellStyle="Normal">
  <autoFilter ref="A9:O10" xr:uid="{98439ECB-1213-4913-97B0-48818EFFB26B}"/>
  <tableColumns count="15">
    <tableColumn id="1" xr3:uid="{BBB2411B-F1ED-4F48-98EB-31412F83D9D7}" name="Column1" dataDxfId="16" dataCellStyle="Normal"/>
    <tableColumn id="2" xr3:uid="{4C0CCE00-58EB-4646-8B74-6E98451118C1}" name="Column2" dataDxfId="15" dataCellStyle="Normal"/>
    <tableColumn id="3" xr3:uid="{9EB4C456-80C2-43BB-832C-6E6BBBE4EFEB}" name="Column3" dataDxfId="14" dataCellStyle="Normal"/>
    <tableColumn id="4" xr3:uid="{251EB6A0-3AFE-40DE-ADCA-59403FD520CC}" name="Column4" dataDxfId="13" dataCellStyle="Normal"/>
    <tableColumn id="5" xr3:uid="{F2FC676D-872A-4DFE-BA39-F3B4741A6256}" name="Column5" dataDxfId="12" dataCellStyle="Normal"/>
    <tableColumn id="6" xr3:uid="{D72AA9E1-6FA9-4053-B197-6755A193D4A9}" name="Column6" dataDxfId="11" dataCellStyle="Normal"/>
    <tableColumn id="7" xr3:uid="{4A9912DB-E397-4226-9115-95370C376DF0}" name="Column7" dataDxfId="10" dataCellStyle="Normal"/>
    <tableColumn id="8" xr3:uid="{EDAC17B8-1EF9-42C6-AA54-6C4B37370053}" name="Column8" dataDxfId="9" dataCellStyle="Normal"/>
    <tableColumn id="9" xr3:uid="{08C59F52-9D3A-4F3A-BF38-8B193CC7DA24}" name="Column9" dataDxfId="8" dataCellStyle="Normal"/>
    <tableColumn id="10" xr3:uid="{1AB0E842-9854-4583-8159-C715AFEB5E41}" name="Column10" dataDxfId="7" dataCellStyle="Normal"/>
    <tableColumn id="11" xr3:uid="{72285B4E-F288-42C4-9169-00DB23E34765}" name="Column11" dataDxfId="6" dataCellStyle="Normal"/>
    <tableColumn id="12" xr3:uid="{FDD94551-CAC5-42B3-B9AE-BC3C79B31C74}" name="Column12" dataDxfId="5" dataCellStyle="Normal"/>
    <tableColumn id="13" xr3:uid="{79193D3D-575B-48DA-BFCD-E5EF8C786FFD}" name="Column13" dataDxfId="4" dataCellStyle="Normal"/>
    <tableColumn id="14" xr3:uid="{3E405F0E-B5FA-462A-89DD-01C8478D7A22}" name="Column14" dataDxfId="3" dataCellStyle="Normal"/>
    <tableColumn id="15" xr3:uid="{CD04119B-F939-4A24-A7CF-6F34323454E4}" name="Column15" dataDxfId="2" dataCellStyle="Normal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outlinePr summaryBelow="0" summaryRight="0"/>
  </sheetPr>
  <dimension ref="A1:G1000"/>
  <sheetViews>
    <sheetView showZeros="0" workbookViewId="0">
      <selection activeCell="C15" sqref="C15"/>
    </sheetView>
  </sheetViews>
  <sheetFormatPr defaultColWidth="12.6328125" defaultRowHeight="15.75" customHeight="1"/>
  <cols>
    <col min="1" max="5" width="18.90625" customWidth="1"/>
    <col min="6" max="6" width="13.6328125" customWidth="1"/>
  </cols>
  <sheetData>
    <row r="1" spans="1:7" ht="13">
      <c r="A1" s="23" t="s">
        <v>34</v>
      </c>
      <c r="B1" s="23" t="s">
        <v>55</v>
      </c>
      <c r="C1" s="23" t="s">
        <v>18</v>
      </c>
      <c r="D1" s="23" t="s">
        <v>35</v>
      </c>
      <c r="E1" s="23" t="s">
        <v>36</v>
      </c>
      <c r="F1" s="23" t="s">
        <v>56</v>
      </c>
      <c r="G1" s="25" t="s">
        <v>54</v>
      </c>
    </row>
    <row r="2" spans="1:7" ht="15.75" customHeight="1">
      <c r="A2" s="4" t="s">
        <v>37</v>
      </c>
      <c r="B2" s="4">
        <v>100</v>
      </c>
      <c r="C2" s="4">
        <v>10</v>
      </c>
      <c r="D2" s="4" t="s">
        <v>38</v>
      </c>
      <c r="E2" s="4" t="s">
        <v>39</v>
      </c>
      <c r="F2">
        <f>SUMIF(InvoicesInput!A$15:A$24, A2, InvoicesInput!B$15:B$24)</f>
        <v>0</v>
      </c>
      <c r="G2">
        <f>B2 - F2</f>
        <v>100</v>
      </c>
    </row>
    <row r="3" spans="1:7" ht="15.75" customHeight="1">
      <c r="A3" s="4" t="s">
        <v>40</v>
      </c>
      <c r="B3" s="4">
        <v>200</v>
      </c>
      <c r="C3" s="4">
        <v>15</v>
      </c>
      <c r="D3" s="4" t="s">
        <v>41</v>
      </c>
      <c r="E3" s="4" t="s">
        <v>42</v>
      </c>
      <c r="F3">
        <f>SUMIF(InvoicesInput!A$15:A$24, A3, InvoicesInput!B$15:B$24)</f>
        <v>0</v>
      </c>
      <c r="G3">
        <f t="shared" ref="G3:G66" si="0">B3 - F3</f>
        <v>200</v>
      </c>
    </row>
    <row r="4" spans="1:7" ht="15.75" customHeight="1">
      <c r="A4" s="4" t="s">
        <v>43</v>
      </c>
      <c r="B4" s="4">
        <v>150</v>
      </c>
      <c r="C4" s="4">
        <v>20</v>
      </c>
      <c r="D4" s="4" t="s">
        <v>44</v>
      </c>
      <c r="E4" s="4" t="s">
        <v>45</v>
      </c>
      <c r="F4">
        <f>SUMIF(InvoicesInput!A$15:A$24, A4, InvoicesInput!B$15:B$24)</f>
        <v>0</v>
      </c>
      <c r="G4">
        <f t="shared" si="0"/>
        <v>150</v>
      </c>
    </row>
    <row r="5" spans="1:7" ht="15.75" customHeight="1">
      <c r="A5" s="4" t="s">
        <v>46</v>
      </c>
      <c r="B5" s="4">
        <v>250</v>
      </c>
      <c r="C5" s="4">
        <v>19.95</v>
      </c>
      <c r="F5">
        <f>SUMIF(InvoicesInput!A$15:A$24, A5, InvoicesInput!B$15:B$24)</f>
        <v>0</v>
      </c>
      <c r="G5">
        <f t="shared" si="0"/>
        <v>250</v>
      </c>
    </row>
    <row r="6" spans="1:7" ht="15.75" customHeight="1">
      <c r="F6">
        <f>SUMIF(InvoicesInput!A$15:A$24, A6, InvoicesInput!B$15:B$24)</f>
        <v>0</v>
      </c>
      <c r="G6">
        <f t="shared" si="0"/>
        <v>0</v>
      </c>
    </row>
    <row r="7" spans="1:7" ht="15.75" customHeight="1">
      <c r="F7">
        <f>SUMIF(InvoicesInput!A$15:A$24, A7, InvoicesInput!B$15:B$24)</f>
        <v>0</v>
      </c>
      <c r="G7">
        <f t="shared" si="0"/>
        <v>0</v>
      </c>
    </row>
    <row r="8" spans="1:7" ht="15.75" customHeight="1">
      <c r="F8">
        <f>SUMIF(InvoicesInput!A$15:A$24, A8, InvoicesInput!B$15:B$24)</f>
        <v>0</v>
      </c>
      <c r="G8">
        <f t="shared" si="0"/>
        <v>0</v>
      </c>
    </row>
    <row r="9" spans="1:7" ht="15.75" customHeight="1">
      <c r="F9">
        <f>SUMIF(InvoicesInput!A$15:A$24, A9, InvoicesInput!B$15:B$24)</f>
        <v>0</v>
      </c>
      <c r="G9">
        <f t="shared" si="0"/>
        <v>0</v>
      </c>
    </row>
    <row r="10" spans="1:7" ht="15.75" customHeight="1">
      <c r="F10">
        <f>SUMIF(InvoicesInput!A$15:A$24, A10, InvoicesInput!B$15:B$24)</f>
        <v>0</v>
      </c>
      <c r="G10">
        <f t="shared" si="0"/>
        <v>0</v>
      </c>
    </row>
    <row r="11" spans="1:7" ht="15.75" customHeight="1">
      <c r="F11">
        <f>SUMIF(InvoicesInput!A$15:A$24, A11, InvoicesInput!B$15:B$24)</f>
        <v>0</v>
      </c>
      <c r="G11">
        <f t="shared" si="0"/>
        <v>0</v>
      </c>
    </row>
    <row r="12" spans="1:7" ht="15.75" customHeight="1">
      <c r="F12">
        <f>SUMIF(InvoicesInput!A$15:A$24, A12, InvoicesInput!B$15:B$24)</f>
        <v>0</v>
      </c>
      <c r="G12">
        <f t="shared" si="0"/>
        <v>0</v>
      </c>
    </row>
    <row r="13" spans="1:7" ht="15.75" customHeight="1">
      <c r="F13">
        <f>SUMIF(InvoicesInput!A$15:A$24, A13, InvoicesInput!B$15:B$24)</f>
        <v>0</v>
      </c>
      <c r="G13">
        <f t="shared" si="0"/>
        <v>0</v>
      </c>
    </row>
    <row r="14" spans="1:7" ht="15.75" customHeight="1">
      <c r="F14">
        <f>SUMIF(InvoicesInput!A$15:A$24, A14, InvoicesInput!B$15:B$24)</f>
        <v>0</v>
      </c>
      <c r="G14">
        <f t="shared" si="0"/>
        <v>0</v>
      </c>
    </row>
    <row r="15" spans="1:7" ht="15.75" customHeight="1">
      <c r="F15">
        <f>SUMIF(InvoicesInput!A$15:A$24, A15, InvoicesInput!B$15:B$24)</f>
        <v>0</v>
      </c>
      <c r="G15">
        <f t="shared" si="0"/>
        <v>0</v>
      </c>
    </row>
    <row r="16" spans="1:7" ht="15.75" customHeight="1">
      <c r="F16">
        <f>SUMIF(InvoicesInput!A$15:A$24, A16, InvoicesInput!B$15:B$24)</f>
        <v>0</v>
      </c>
      <c r="G16">
        <f t="shared" si="0"/>
        <v>0</v>
      </c>
    </row>
    <row r="17" spans="6:7" ht="15.75" customHeight="1">
      <c r="F17">
        <f>SUMIF(InvoicesInput!A$15:A$24, A17, InvoicesInput!B$15:B$24)</f>
        <v>0</v>
      </c>
      <c r="G17">
        <f t="shared" si="0"/>
        <v>0</v>
      </c>
    </row>
    <row r="18" spans="6:7" ht="15.75" customHeight="1">
      <c r="F18">
        <f>SUMIF(InvoicesInput!A$15:A$24, A18, InvoicesInput!B$15:B$24)</f>
        <v>0</v>
      </c>
      <c r="G18">
        <f t="shared" si="0"/>
        <v>0</v>
      </c>
    </row>
    <row r="19" spans="6:7" ht="15.75" customHeight="1">
      <c r="F19">
        <f>SUMIF(InvoicesInput!A$15:A$24, A19, InvoicesInput!B$15:B$24)</f>
        <v>0</v>
      </c>
      <c r="G19">
        <f t="shared" si="0"/>
        <v>0</v>
      </c>
    </row>
    <row r="20" spans="6:7" ht="15.75" customHeight="1">
      <c r="F20">
        <f>SUMIF(InvoicesInput!A$15:A$24, A20, InvoicesInput!B$15:B$24)</f>
        <v>0</v>
      </c>
      <c r="G20">
        <f t="shared" si="0"/>
        <v>0</v>
      </c>
    </row>
    <row r="21" spans="6:7" ht="15.75" customHeight="1">
      <c r="F21">
        <f>SUMIF(InvoicesInput!A$15:A$24, A21, InvoicesInput!B$15:B$24)</f>
        <v>0</v>
      </c>
      <c r="G21">
        <f t="shared" si="0"/>
        <v>0</v>
      </c>
    </row>
    <row r="22" spans="6:7" ht="15.75" customHeight="1">
      <c r="F22">
        <f>SUMIF(InvoicesInput!A$15:A$24, A22, InvoicesInput!B$15:B$24)</f>
        <v>0</v>
      </c>
      <c r="G22">
        <f t="shared" si="0"/>
        <v>0</v>
      </c>
    </row>
    <row r="23" spans="6:7" ht="15.75" customHeight="1">
      <c r="F23">
        <f>SUMIF(InvoicesInput!A$15:A$24, A23, InvoicesInput!B$15:B$24)</f>
        <v>0</v>
      </c>
      <c r="G23">
        <f t="shared" si="0"/>
        <v>0</v>
      </c>
    </row>
    <row r="24" spans="6:7" ht="15.75" customHeight="1">
      <c r="F24">
        <f>SUMIF(InvoicesInput!A$15:A$24, A24, InvoicesInput!B$15:B$24)</f>
        <v>0</v>
      </c>
      <c r="G24">
        <f t="shared" si="0"/>
        <v>0</v>
      </c>
    </row>
    <row r="25" spans="6:7" ht="15.75" customHeight="1">
      <c r="F25">
        <f>SUMIF(InvoicesInput!A$15:A$24, A25, InvoicesInput!B$15:B$24)</f>
        <v>0</v>
      </c>
      <c r="G25">
        <f t="shared" si="0"/>
        <v>0</v>
      </c>
    </row>
    <row r="26" spans="6:7" ht="15.75" customHeight="1">
      <c r="F26">
        <f>SUMIF(InvoicesInput!A$15:A$24, A26, InvoicesInput!B$15:B$24)</f>
        <v>0</v>
      </c>
      <c r="G26">
        <f t="shared" si="0"/>
        <v>0</v>
      </c>
    </row>
    <row r="27" spans="6:7" ht="15.75" customHeight="1">
      <c r="F27">
        <f>SUMIF(InvoicesInput!A$15:A$24, A27, InvoicesInput!B$15:B$24)</f>
        <v>0</v>
      </c>
      <c r="G27">
        <f t="shared" si="0"/>
        <v>0</v>
      </c>
    </row>
    <row r="28" spans="6:7" ht="15.75" customHeight="1">
      <c r="F28">
        <f>SUMIF(InvoicesInput!A$15:A$24, A28, InvoicesInput!B$15:B$24)</f>
        <v>0</v>
      </c>
      <c r="G28">
        <f t="shared" si="0"/>
        <v>0</v>
      </c>
    </row>
    <row r="29" spans="6:7" ht="15.75" customHeight="1">
      <c r="F29">
        <f>SUMIF(InvoicesInput!A$15:A$24, A29, InvoicesInput!B$15:B$24)</f>
        <v>0</v>
      </c>
      <c r="G29">
        <f t="shared" si="0"/>
        <v>0</v>
      </c>
    </row>
    <row r="30" spans="6:7" ht="15.75" customHeight="1">
      <c r="F30">
        <f>SUMIF(InvoicesInput!A$15:A$24, A30, InvoicesInput!B$15:B$24)</f>
        <v>0</v>
      </c>
      <c r="G30">
        <f t="shared" si="0"/>
        <v>0</v>
      </c>
    </row>
    <row r="31" spans="6:7" ht="15.75" customHeight="1">
      <c r="F31">
        <f>SUMIF(InvoicesInput!A$15:A$24, A31, InvoicesInput!B$15:B$24)</f>
        <v>0</v>
      </c>
      <c r="G31">
        <f t="shared" si="0"/>
        <v>0</v>
      </c>
    </row>
    <row r="32" spans="6:7" ht="15.75" customHeight="1">
      <c r="F32">
        <f>SUMIF(InvoicesInput!A$15:A$24, A32, InvoicesInput!B$15:B$24)</f>
        <v>0</v>
      </c>
      <c r="G32">
        <f t="shared" si="0"/>
        <v>0</v>
      </c>
    </row>
    <row r="33" spans="6:7" ht="15.75" customHeight="1">
      <c r="F33">
        <f>SUMIF(InvoicesInput!A$15:A$24, A33, InvoicesInput!B$15:B$24)</f>
        <v>0</v>
      </c>
      <c r="G33">
        <f t="shared" si="0"/>
        <v>0</v>
      </c>
    </row>
    <row r="34" spans="6:7" ht="15.75" customHeight="1">
      <c r="F34">
        <f>SUMIF(InvoicesInput!A$15:A$24, A34, InvoicesInput!B$15:B$24)</f>
        <v>0</v>
      </c>
      <c r="G34">
        <f t="shared" si="0"/>
        <v>0</v>
      </c>
    </row>
    <row r="35" spans="6:7" ht="15.75" customHeight="1">
      <c r="F35">
        <f>SUMIF(InvoicesInput!A$15:A$24, A35, InvoicesInput!B$15:B$24)</f>
        <v>0</v>
      </c>
      <c r="G35">
        <f t="shared" si="0"/>
        <v>0</v>
      </c>
    </row>
    <row r="36" spans="6:7" ht="15.75" customHeight="1">
      <c r="F36">
        <f>SUMIF(InvoicesInput!A$15:A$24, A36, InvoicesInput!B$15:B$24)</f>
        <v>0</v>
      </c>
      <c r="G36">
        <f t="shared" si="0"/>
        <v>0</v>
      </c>
    </row>
    <row r="37" spans="6:7" ht="15.75" customHeight="1">
      <c r="F37">
        <f>SUMIF(InvoicesInput!A$15:A$24, A37, InvoicesInput!B$15:B$24)</f>
        <v>0</v>
      </c>
      <c r="G37">
        <f t="shared" si="0"/>
        <v>0</v>
      </c>
    </row>
    <row r="38" spans="6:7" ht="15.75" customHeight="1">
      <c r="F38">
        <f>SUMIF(InvoicesInput!A$15:A$24, A38, InvoicesInput!B$15:B$24)</f>
        <v>0</v>
      </c>
      <c r="G38">
        <f t="shared" si="0"/>
        <v>0</v>
      </c>
    </row>
    <row r="39" spans="6:7" ht="15.75" customHeight="1">
      <c r="F39">
        <f>SUMIF(InvoicesInput!A$15:A$24, A39, InvoicesInput!B$15:B$24)</f>
        <v>0</v>
      </c>
      <c r="G39">
        <f t="shared" si="0"/>
        <v>0</v>
      </c>
    </row>
    <row r="40" spans="6:7" ht="15.75" customHeight="1">
      <c r="F40">
        <f>SUMIF(InvoicesInput!A$15:A$24, A40, InvoicesInput!B$15:B$24)</f>
        <v>0</v>
      </c>
      <c r="G40">
        <f t="shared" si="0"/>
        <v>0</v>
      </c>
    </row>
    <row r="41" spans="6:7" ht="15.75" customHeight="1">
      <c r="F41">
        <f>SUMIF(InvoicesInput!A$15:A$24, A41, InvoicesInput!B$15:B$24)</f>
        <v>0</v>
      </c>
      <c r="G41">
        <f t="shared" si="0"/>
        <v>0</v>
      </c>
    </row>
    <row r="42" spans="6:7" ht="15.75" customHeight="1">
      <c r="F42">
        <f>SUMIF(InvoicesInput!A$15:A$24, A42, InvoicesInput!B$15:B$24)</f>
        <v>0</v>
      </c>
      <c r="G42">
        <f t="shared" si="0"/>
        <v>0</v>
      </c>
    </row>
    <row r="43" spans="6:7" ht="15.75" customHeight="1">
      <c r="F43">
        <f>SUMIF(InvoicesInput!A$15:A$24, A43, InvoicesInput!B$15:B$24)</f>
        <v>0</v>
      </c>
      <c r="G43">
        <f t="shared" si="0"/>
        <v>0</v>
      </c>
    </row>
    <row r="44" spans="6:7" ht="15.75" customHeight="1">
      <c r="F44">
        <f>SUMIF(InvoicesInput!A$15:A$24, A44, InvoicesInput!B$15:B$24)</f>
        <v>0</v>
      </c>
      <c r="G44">
        <f t="shared" si="0"/>
        <v>0</v>
      </c>
    </row>
    <row r="45" spans="6:7" ht="15.75" customHeight="1">
      <c r="F45">
        <f>SUMIF(InvoicesInput!A$15:A$24, A45, InvoicesInput!B$15:B$24)</f>
        <v>0</v>
      </c>
      <c r="G45">
        <f t="shared" si="0"/>
        <v>0</v>
      </c>
    </row>
    <row r="46" spans="6:7" ht="15.75" customHeight="1">
      <c r="F46">
        <f>SUMIF(InvoicesInput!A$15:A$24, A46, InvoicesInput!B$15:B$24)</f>
        <v>0</v>
      </c>
      <c r="G46">
        <f t="shared" si="0"/>
        <v>0</v>
      </c>
    </row>
    <row r="47" spans="6:7" ht="15.75" customHeight="1">
      <c r="F47">
        <f>SUMIF(InvoicesInput!A$15:A$24, A47, InvoicesInput!B$15:B$24)</f>
        <v>0</v>
      </c>
      <c r="G47">
        <f t="shared" si="0"/>
        <v>0</v>
      </c>
    </row>
    <row r="48" spans="6:7" ht="15.75" customHeight="1">
      <c r="F48">
        <f>SUMIF(InvoicesInput!A$15:A$24, A48, InvoicesInput!B$15:B$24)</f>
        <v>0</v>
      </c>
      <c r="G48">
        <f t="shared" si="0"/>
        <v>0</v>
      </c>
    </row>
    <row r="49" spans="6:7" ht="15.75" customHeight="1">
      <c r="F49">
        <f>SUMIF(InvoicesInput!A$15:A$24, A49, InvoicesInput!B$15:B$24)</f>
        <v>0</v>
      </c>
      <c r="G49">
        <f t="shared" si="0"/>
        <v>0</v>
      </c>
    </row>
    <row r="50" spans="6:7" ht="15.75" customHeight="1">
      <c r="F50">
        <f>SUMIF(InvoicesInput!A$15:A$24, A50, InvoicesInput!B$15:B$24)</f>
        <v>0</v>
      </c>
      <c r="G50">
        <f t="shared" si="0"/>
        <v>0</v>
      </c>
    </row>
    <row r="51" spans="6:7" ht="15.75" customHeight="1">
      <c r="F51">
        <f>SUMIF(InvoicesInput!A$15:A$24, A51, InvoicesInput!B$15:B$24)</f>
        <v>0</v>
      </c>
      <c r="G51">
        <f t="shared" si="0"/>
        <v>0</v>
      </c>
    </row>
    <row r="52" spans="6:7" ht="15.75" customHeight="1">
      <c r="F52">
        <f>SUMIF(InvoicesInput!A$15:A$24, A52, InvoicesInput!B$15:B$24)</f>
        <v>0</v>
      </c>
      <c r="G52">
        <f t="shared" si="0"/>
        <v>0</v>
      </c>
    </row>
    <row r="53" spans="6:7" ht="15.75" customHeight="1">
      <c r="F53">
        <f>SUMIF(InvoicesInput!A$15:A$24, A53, InvoicesInput!B$15:B$24)</f>
        <v>0</v>
      </c>
      <c r="G53">
        <f t="shared" si="0"/>
        <v>0</v>
      </c>
    </row>
    <row r="54" spans="6:7" ht="15.75" customHeight="1">
      <c r="F54">
        <f>SUMIF(InvoicesInput!A$15:A$24, A54, InvoicesInput!B$15:B$24)</f>
        <v>0</v>
      </c>
      <c r="G54">
        <f t="shared" si="0"/>
        <v>0</v>
      </c>
    </row>
    <row r="55" spans="6:7" ht="15.75" customHeight="1">
      <c r="F55">
        <f>SUMIF(InvoicesInput!A$15:A$24, A55, InvoicesInput!B$15:B$24)</f>
        <v>0</v>
      </c>
      <c r="G55">
        <f t="shared" si="0"/>
        <v>0</v>
      </c>
    </row>
    <row r="56" spans="6:7" ht="15.75" customHeight="1">
      <c r="F56">
        <f>SUMIF(InvoicesInput!A$15:A$24, A56, InvoicesInput!B$15:B$24)</f>
        <v>0</v>
      </c>
      <c r="G56">
        <f t="shared" si="0"/>
        <v>0</v>
      </c>
    </row>
    <row r="57" spans="6:7" ht="15.75" customHeight="1">
      <c r="F57">
        <f>SUMIF(InvoicesInput!A$15:A$24, A57, InvoicesInput!B$15:B$24)</f>
        <v>0</v>
      </c>
      <c r="G57">
        <f t="shared" si="0"/>
        <v>0</v>
      </c>
    </row>
    <row r="58" spans="6:7" ht="15.75" customHeight="1">
      <c r="F58">
        <f>SUMIF(InvoicesInput!A$15:A$24, A58, InvoicesInput!B$15:B$24)</f>
        <v>0</v>
      </c>
      <c r="G58">
        <f t="shared" si="0"/>
        <v>0</v>
      </c>
    </row>
    <row r="59" spans="6:7" ht="15.75" customHeight="1">
      <c r="F59">
        <f>SUMIF(InvoicesInput!A$15:A$24, A59, InvoicesInput!B$15:B$24)</f>
        <v>0</v>
      </c>
      <c r="G59">
        <f t="shared" si="0"/>
        <v>0</v>
      </c>
    </row>
    <row r="60" spans="6:7" ht="15.75" customHeight="1">
      <c r="F60">
        <f>SUMIF(InvoicesInput!A$15:A$24, A60, InvoicesInput!B$15:B$24)</f>
        <v>0</v>
      </c>
      <c r="G60">
        <f t="shared" si="0"/>
        <v>0</v>
      </c>
    </row>
    <row r="61" spans="6:7" ht="15.75" customHeight="1">
      <c r="F61">
        <f>SUMIF(InvoicesInput!A$15:A$24, A61, InvoicesInput!B$15:B$24)</f>
        <v>0</v>
      </c>
      <c r="G61">
        <f t="shared" si="0"/>
        <v>0</v>
      </c>
    </row>
    <row r="62" spans="6:7" ht="15.75" customHeight="1">
      <c r="F62">
        <f>SUMIF(InvoicesInput!A$15:A$24, A62, InvoicesInput!B$15:B$24)</f>
        <v>0</v>
      </c>
      <c r="G62">
        <f t="shared" si="0"/>
        <v>0</v>
      </c>
    </row>
    <row r="63" spans="6:7" ht="15.75" customHeight="1">
      <c r="F63">
        <f>SUMIF(InvoicesInput!A$15:A$24, A63, InvoicesInput!B$15:B$24)</f>
        <v>0</v>
      </c>
      <c r="G63">
        <f t="shared" si="0"/>
        <v>0</v>
      </c>
    </row>
    <row r="64" spans="6:7" ht="15.75" customHeight="1">
      <c r="F64">
        <f>SUMIF(InvoicesInput!A$15:A$24, A64, InvoicesInput!B$15:B$24)</f>
        <v>0</v>
      </c>
      <c r="G64">
        <f t="shared" si="0"/>
        <v>0</v>
      </c>
    </row>
    <row r="65" spans="6:7" ht="15.75" customHeight="1">
      <c r="F65">
        <f>SUMIF(InvoicesInput!A$15:A$24, A65, InvoicesInput!B$15:B$24)</f>
        <v>0</v>
      </c>
      <c r="G65">
        <f t="shared" si="0"/>
        <v>0</v>
      </c>
    </row>
    <row r="66" spans="6:7" ht="15.75" customHeight="1">
      <c r="F66">
        <f>SUMIF(InvoicesInput!A$15:A$24, A66, InvoicesInput!B$15:B$24)</f>
        <v>0</v>
      </c>
      <c r="G66">
        <f t="shared" si="0"/>
        <v>0</v>
      </c>
    </row>
    <row r="67" spans="6:7" ht="15.75" customHeight="1">
      <c r="F67">
        <f>SUMIF(InvoicesInput!A$15:A$24, A67, InvoicesInput!B$15:B$24)</f>
        <v>0</v>
      </c>
      <c r="G67">
        <f t="shared" ref="G67:G130" si="1">B67 - F67</f>
        <v>0</v>
      </c>
    </row>
    <row r="68" spans="6:7" ht="15.75" customHeight="1">
      <c r="F68">
        <f>SUMIF(InvoicesInput!A$15:A$24, A68, InvoicesInput!B$15:B$24)</f>
        <v>0</v>
      </c>
      <c r="G68">
        <f t="shared" si="1"/>
        <v>0</v>
      </c>
    </row>
    <row r="69" spans="6:7" ht="15.75" customHeight="1">
      <c r="F69">
        <f>SUMIF(InvoicesInput!A$15:A$24, A69, InvoicesInput!B$15:B$24)</f>
        <v>0</v>
      </c>
      <c r="G69">
        <f t="shared" si="1"/>
        <v>0</v>
      </c>
    </row>
    <row r="70" spans="6:7" ht="15.75" customHeight="1">
      <c r="F70">
        <f>SUMIF(InvoicesInput!A$15:A$24, A70, InvoicesInput!B$15:B$24)</f>
        <v>0</v>
      </c>
      <c r="G70">
        <f t="shared" si="1"/>
        <v>0</v>
      </c>
    </row>
    <row r="71" spans="6:7" ht="15.75" customHeight="1">
      <c r="F71">
        <f>SUMIF(InvoicesInput!A$15:A$24, A71, InvoicesInput!B$15:B$24)</f>
        <v>0</v>
      </c>
      <c r="G71">
        <f t="shared" si="1"/>
        <v>0</v>
      </c>
    </row>
    <row r="72" spans="6:7" ht="15.75" customHeight="1">
      <c r="F72">
        <f>SUMIF(InvoicesInput!A$15:A$24, A72, InvoicesInput!B$15:B$24)</f>
        <v>0</v>
      </c>
      <c r="G72">
        <f t="shared" si="1"/>
        <v>0</v>
      </c>
    </row>
    <row r="73" spans="6:7" ht="15.75" customHeight="1">
      <c r="F73">
        <f>SUMIF(InvoicesInput!A$15:A$24, A73, InvoicesInput!B$15:B$24)</f>
        <v>0</v>
      </c>
      <c r="G73">
        <f t="shared" si="1"/>
        <v>0</v>
      </c>
    </row>
    <row r="74" spans="6:7" ht="15.75" customHeight="1">
      <c r="F74">
        <f>SUMIF(InvoicesInput!A$15:A$24, A74, InvoicesInput!B$15:B$24)</f>
        <v>0</v>
      </c>
      <c r="G74">
        <f t="shared" si="1"/>
        <v>0</v>
      </c>
    </row>
    <row r="75" spans="6:7" ht="15.75" customHeight="1">
      <c r="F75">
        <f>SUMIF(InvoicesInput!A$15:A$24, A75, InvoicesInput!B$15:B$24)</f>
        <v>0</v>
      </c>
      <c r="G75">
        <f t="shared" si="1"/>
        <v>0</v>
      </c>
    </row>
    <row r="76" spans="6:7" ht="15.75" customHeight="1">
      <c r="F76">
        <f>SUMIF(InvoicesInput!A$15:A$24, A76, InvoicesInput!B$15:B$24)</f>
        <v>0</v>
      </c>
      <c r="G76">
        <f t="shared" si="1"/>
        <v>0</v>
      </c>
    </row>
    <row r="77" spans="6:7" ht="15.75" customHeight="1">
      <c r="F77">
        <f>SUMIF(InvoicesInput!A$15:A$24, A77, InvoicesInput!B$15:B$24)</f>
        <v>0</v>
      </c>
      <c r="G77">
        <f t="shared" si="1"/>
        <v>0</v>
      </c>
    </row>
    <row r="78" spans="6:7" ht="15.75" customHeight="1">
      <c r="F78">
        <f>SUMIF(InvoicesInput!A$15:A$24, A78, InvoicesInput!B$15:B$24)</f>
        <v>0</v>
      </c>
      <c r="G78">
        <f t="shared" si="1"/>
        <v>0</v>
      </c>
    </row>
    <row r="79" spans="6:7" ht="15.75" customHeight="1">
      <c r="F79">
        <f>SUMIF(InvoicesInput!A$15:A$24, A79, InvoicesInput!B$15:B$24)</f>
        <v>0</v>
      </c>
      <c r="G79">
        <f t="shared" si="1"/>
        <v>0</v>
      </c>
    </row>
    <row r="80" spans="6:7" ht="15.75" customHeight="1">
      <c r="F80">
        <f>SUMIF(InvoicesInput!A$15:A$24, A80, InvoicesInput!B$15:B$24)</f>
        <v>0</v>
      </c>
      <c r="G80">
        <f t="shared" si="1"/>
        <v>0</v>
      </c>
    </row>
    <row r="81" spans="6:7" ht="15.75" customHeight="1">
      <c r="F81">
        <f>SUMIF(InvoicesInput!A$15:A$24, A81, InvoicesInput!B$15:B$24)</f>
        <v>0</v>
      </c>
      <c r="G81">
        <f t="shared" si="1"/>
        <v>0</v>
      </c>
    </row>
    <row r="82" spans="6:7" ht="15.75" customHeight="1">
      <c r="F82">
        <f>SUMIF(InvoicesInput!A$15:A$24, A82, InvoicesInput!B$15:B$24)</f>
        <v>0</v>
      </c>
      <c r="G82">
        <f t="shared" si="1"/>
        <v>0</v>
      </c>
    </row>
    <row r="83" spans="6:7" ht="15.75" customHeight="1">
      <c r="F83">
        <f>SUMIF(InvoicesInput!A$15:A$24, A83, InvoicesInput!B$15:B$24)</f>
        <v>0</v>
      </c>
      <c r="G83">
        <f t="shared" si="1"/>
        <v>0</v>
      </c>
    </row>
    <row r="84" spans="6:7" ht="15.75" customHeight="1">
      <c r="F84">
        <f>SUMIF(InvoicesInput!A$15:A$24, A84, InvoicesInput!B$15:B$24)</f>
        <v>0</v>
      </c>
      <c r="G84">
        <f t="shared" si="1"/>
        <v>0</v>
      </c>
    </row>
    <row r="85" spans="6:7" ht="15.75" customHeight="1">
      <c r="F85">
        <f>SUMIF(InvoicesInput!A$15:A$24, A85, InvoicesInput!B$15:B$24)</f>
        <v>0</v>
      </c>
      <c r="G85">
        <f t="shared" si="1"/>
        <v>0</v>
      </c>
    </row>
    <row r="86" spans="6:7" ht="15.75" customHeight="1">
      <c r="F86">
        <f>SUMIF(InvoicesInput!A$15:A$24, A86, InvoicesInput!B$15:B$24)</f>
        <v>0</v>
      </c>
      <c r="G86">
        <f t="shared" si="1"/>
        <v>0</v>
      </c>
    </row>
    <row r="87" spans="6:7" ht="15.75" customHeight="1">
      <c r="F87">
        <f>SUMIF(InvoicesInput!A$15:A$24, A87, InvoicesInput!B$15:B$24)</f>
        <v>0</v>
      </c>
      <c r="G87">
        <f t="shared" si="1"/>
        <v>0</v>
      </c>
    </row>
    <row r="88" spans="6:7" ht="15.75" customHeight="1">
      <c r="F88">
        <f>SUMIF(InvoicesInput!A$15:A$24, A88, InvoicesInput!B$15:B$24)</f>
        <v>0</v>
      </c>
      <c r="G88">
        <f t="shared" si="1"/>
        <v>0</v>
      </c>
    </row>
    <row r="89" spans="6:7" ht="15.75" customHeight="1">
      <c r="F89">
        <f>SUMIF(InvoicesInput!A$15:A$24, A89, InvoicesInput!B$15:B$24)</f>
        <v>0</v>
      </c>
      <c r="G89">
        <f t="shared" si="1"/>
        <v>0</v>
      </c>
    </row>
    <row r="90" spans="6:7" ht="15.75" customHeight="1">
      <c r="F90">
        <f>SUMIF(InvoicesInput!A$15:A$24, A90, InvoicesInput!B$15:B$24)</f>
        <v>0</v>
      </c>
      <c r="G90">
        <f t="shared" si="1"/>
        <v>0</v>
      </c>
    </row>
    <row r="91" spans="6:7" ht="15.75" customHeight="1">
      <c r="F91">
        <f>SUMIF(InvoicesInput!A$15:A$24, A91, InvoicesInput!B$15:B$24)</f>
        <v>0</v>
      </c>
      <c r="G91">
        <f t="shared" si="1"/>
        <v>0</v>
      </c>
    </row>
    <row r="92" spans="6:7" ht="15.75" customHeight="1">
      <c r="F92">
        <f>SUMIF(InvoicesInput!A$15:A$24, A92, InvoicesInput!B$15:B$24)</f>
        <v>0</v>
      </c>
      <c r="G92">
        <f t="shared" si="1"/>
        <v>0</v>
      </c>
    </row>
    <row r="93" spans="6:7" ht="15.75" customHeight="1">
      <c r="F93">
        <f>SUMIF(InvoicesInput!A$15:A$24, A93, InvoicesInput!B$15:B$24)</f>
        <v>0</v>
      </c>
      <c r="G93">
        <f t="shared" si="1"/>
        <v>0</v>
      </c>
    </row>
    <row r="94" spans="6:7" ht="15.75" customHeight="1">
      <c r="F94">
        <f>SUMIF(InvoicesInput!A$15:A$24, A94, InvoicesInput!B$15:B$24)</f>
        <v>0</v>
      </c>
      <c r="G94">
        <f t="shared" si="1"/>
        <v>0</v>
      </c>
    </row>
    <row r="95" spans="6:7" ht="15.75" customHeight="1">
      <c r="F95">
        <f>SUMIF(InvoicesInput!A$15:A$24, A95, InvoicesInput!B$15:B$24)</f>
        <v>0</v>
      </c>
      <c r="G95">
        <f t="shared" si="1"/>
        <v>0</v>
      </c>
    </row>
    <row r="96" spans="6:7" ht="15.75" customHeight="1">
      <c r="F96">
        <f>SUMIF(InvoicesInput!A$15:A$24, A96, InvoicesInput!B$15:B$24)</f>
        <v>0</v>
      </c>
      <c r="G96">
        <f t="shared" si="1"/>
        <v>0</v>
      </c>
    </row>
    <row r="97" spans="6:7" ht="15.75" customHeight="1">
      <c r="F97">
        <f>SUMIF(InvoicesInput!A$15:A$24, A97, InvoicesInput!B$15:B$24)</f>
        <v>0</v>
      </c>
      <c r="G97">
        <f t="shared" si="1"/>
        <v>0</v>
      </c>
    </row>
    <row r="98" spans="6:7" ht="15.75" customHeight="1">
      <c r="F98">
        <f>SUMIF(InvoicesInput!A$15:A$24, A98, InvoicesInput!B$15:B$24)</f>
        <v>0</v>
      </c>
      <c r="G98">
        <f t="shared" si="1"/>
        <v>0</v>
      </c>
    </row>
    <row r="99" spans="6:7" ht="15.75" customHeight="1">
      <c r="F99">
        <f>SUMIF(InvoicesInput!A$15:A$24, A99, InvoicesInput!B$15:B$24)</f>
        <v>0</v>
      </c>
      <c r="G99">
        <f t="shared" si="1"/>
        <v>0</v>
      </c>
    </row>
    <row r="100" spans="6:7" ht="15.75" customHeight="1">
      <c r="F100">
        <f>SUMIF(InvoicesInput!A$15:A$24, A100, InvoicesInput!B$15:B$24)</f>
        <v>0</v>
      </c>
      <c r="G100">
        <f t="shared" si="1"/>
        <v>0</v>
      </c>
    </row>
    <row r="101" spans="6:7" ht="15.75" customHeight="1">
      <c r="F101">
        <f>SUMIF(InvoicesInput!A$15:A$24, A101, InvoicesInput!B$15:B$24)</f>
        <v>0</v>
      </c>
      <c r="G101">
        <f t="shared" si="1"/>
        <v>0</v>
      </c>
    </row>
    <row r="102" spans="6:7" ht="15.75" customHeight="1">
      <c r="F102">
        <f>SUMIF(InvoicesInput!A$15:A$24, A102, InvoicesInput!B$15:B$24)</f>
        <v>0</v>
      </c>
      <c r="G102">
        <f t="shared" si="1"/>
        <v>0</v>
      </c>
    </row>
    <row r="103" spans="6:7" ht="15.75" customHeight="1">
      <c r="F103">
        <f>SUMIF(InvoicesInput!A$15:A$24, A103, InvoicesInput!B$15:B$24)</f>
        <v>0</v>
      </c>
      <c r="G103">
        <f t="shared" si="1"/>
        <v>0</v>
      </c>
    </row>
    <row r="104" spans="6:7" ht="15.75" customHeight="1">
      <c r="F104">
        <f>SUMIF(InvoicesInput!A$15:A$24, A104, InvoicesInput!B$15:B$24)</f>
        <v>0</v>
      </c>
      <c r="G104">
        <f t="shared" si="1"/>
        <v>0</v>
      </c>
    </row>
    <row r="105" spans="6:7" ht="15.75" customHeight="1">
      <c r="F105">
        <f>SUMIF(InvoicesInput!A$15:A$24, A105, InvoicesInput!B$15:B$24)</f>
        <v>0</v>
      </c>
      <c r="G105">
        <f t="shared" si="1"/>
        <v>0</v>
      </c>
    </row>
    <row r="106" spans="6:7" ht="15.75" customHeight="1">
      <c r="F106">
        <f>SUMIF(InvoicesInput!A$15:A$24, A106, InvoicesInput!B$15:B$24)</f>
        <v>0</v>
      </c>
      <c r="G106">
        <f t="shared" si="1"/>
        <v>0</v>
      </c>
    </row>
    <row r="107" spans="6:7" ht="15.75" customHeight="1">
      <c r="F107">
        <f>SUMIF(InvoicesInput!A$15:A$24, A107, InvoicesInput!B$15:B$24)</f>
        <v>0</v>
      </c>
      <c r="G107">
        <f t="shared" si="1"/>
        <v>0</v>
      </c>
    </row>
    <row r="108" spans="6:7" ht="15.75" customHeight="1">
      <c r="F108">
        <f>SUMIF(InvoicesInput!A$15:A$24, A108, InvoicesInput!B$15:B$24)</f>
        <v>0</v>
      </c>
      <c r="G108">
        <f t="shared" si="1"/>
        <v>0</v>
      </c>
    </row>
    <row r="109" spans="6:7" ht="15.75" customHeight="1">
      <c r="F109">
        <f>SUMIF(InvoicesInput!A$15:A$24, A109, InvoicesInput!B$15:B$24)</f>
        <v>0</v>
      </c>
      <c r="G109">
        <f t="shared" si="1"/>
        <v>0</v>
      </c>
    </row>
    <row r="110" spans="6:7" ht="15.75" customHeight="1">
      <c r="F110">
        <f>SUMIF(InvoicesInput!A$15:A$24, A110, InvoicesInput!B$15:B$24)</f>
        <v>0</v>
      </c>
      <c r="G110">
        <f t="shared" si="1"/>
        <v>0</v>
      </c>
    </row>
    <row r="111" spans="6:7" ht="15.75" customHeight="1">
      <c r="F111">
        <f>SUMIF(InvoicesInput!A$15:A$24, A111, InvoicesInput!B$15:B$24)</f>
        <v>0</v>
      </c>
      <c r="G111">
        <f t="shared" si="1"/>
        <v>0</v>
      </c>
    </row>
    <row r="112" spans="6:7" ht="15.75" customHeight="1">
      <c r="F112">
        <f>SUMIF(InvoicesInput!A$15:A$24, A112, InvoicesInput!B$15:B$24)</f>
        <v>0</v>
      </c>
      <c r="G112">
        <f t="shared" si="1"/>
        <v>0</v>
      </c>
    </row>
    <row r="113" spans="6:7" ht="15.75" customHeight="1">
      <c r="F113">
        <f>SUMIF(InvoicesInput!A$15:A$24, A113, InvoicesInput!B$15:B$24)</f>
        <v>0</v>
      </c>
      <c r="G113">
        <f t="shared" si="1"/>
        <v>0</v>
      </c>
    </row>
    <row r="114" spans="6:7" ht="15.75" customHeight="1">
      <c r="F114">
        <f>SUMIF(InvoicesInput!A$15:A$24, A114, InvoicesInput!B$15:B$24)</f>
        <v>0</v>
      </c>
      <c r="G114">
        <f t="shared" si="1"/>
        <v>0</v>
      </c>
    </row>
    <row r="115" spans="6:7" ht="15.75" customHeight="1">
      <c r="F115">
        <f>SUMIF(InvoicesInput!A$15:A$24, A115, InvoicesInput!B$15:B$24)</f>
        <v>0</v>
      </c>
      <c r="G115">
        <f t="shared" si="1"/>
        <v>0</v>
      </c>
    </row>
    <row r="116" spans="6:7" ht="15.75" customHeight="1">
      <c r="F116">
        <f>SUMIF(InvoicesInput!A$15:A$24, A116, InvoicesInput!B$15:B$24)</f>
        <v>0</v>
      </c>
      <c r="G116">
        <f t="shared" si="1"/>
        <v>0</v>
      </c>
    </row>
    <row r="117" spans="6:7" ht="15.75" customHeight="1">
      <c r="F117">
        <f>SUMIF(InvoicesInput!A$15:A$24, A117, InvoicesInput!B$15:B$24)</f>
        <v>0</v>
      </c>
      <c r="G117">
        <f t="shared" si="1"/>
        <v>0</v>
      </c>
    </row>
    <row r="118" spans="6:7" ht="15.75" customHeight="1">
      <c r="F118">
        <f>SUMIF(InvoicesInput!A$15:A$24, A118, InvoicesInput!B$15:B$24)</f>
        <v>0</v>
      </c>
      <c r="G118">
        <f t="shared" si="1"/>
        <v>0</v>
      </c>
    </row>
    <row r="119" spans="6:7" ht="15.75" customHeight="1">
      <c r="F119">
        <f>SUMIF(InvoicesInput!A$15:A$24, A119, InvoicesInput!B$15:B$24)</f>
        <v>0</v>
      </c>
      <c r="G119">
        <f t="shared" si="1"/>
        <v>0</v>
      </c>
    </row>
    <row r="120" spans="6:7" ht="15.75" customHeight="1">
      <c r="F120">
        <f>SUMIF(InvoicesInput!A$15:A$24, A120, InvoicesInput!B$15:B$24)</f>
        <v>0</v>
      </c>
      <c r="G120">
        <f t="shared" si="1"/>
        <v>0</v>
      </c>
    </row>
    <row r="121" spans="6:7" ht="15.75" customHeight="1">
      <c r="F121">
        <f>SUMIF(InvoicesInput!A$15:A$24, A121, InvoicesInput!B$15:B$24)</f>
        <v>0</v>
      </c>
      <c r="G121">
        <f t="shared" si="1"/>
        <v>0</v>
      </c>
    </row>
    <row r="122" spans="6:7" ht="15.75" customHeight="1">
      <c r="F122">
        <f>SUMIF(InvoicesInput!A$15:A$24, A122, InvoicesInput!B$15:B$24)</f>
        <v>0</v>
      </c>
      <c r="G122">
        <f t="shared" si="1"/>
        <v>0</v>
      </c>
    </row>
    <row r="123" spans="6:7" ht="15.75" customHeight="1">
      <c r="F123">
        <f>SUMIF(InvoicesInput!A$15:A$24, A123, InvoicesInput!B$15:B$24)</f>
        <v>0</v>
      </c>
      <c r="G123">
        <f t="shared" si="1"/>
        <v>0</v>
      </c>
    </row>
    <row r="124" spans="6:7" ht="15.75" customHeight="1">
      <c r="F124">
        <f>SUMIF(InvoicesInput!A$15:A$24, A124, InvoicesInput!B$15:B$24)</f>
        <v>0</v>
      </c>
      <c r="G124">
        <f t="shared" si="1"/>
        <v>0</v>
      </c>
    </row>
    <row r="125" spans="6:7" ht="15.75" customHeight="1">
      <c r="F125">
        <f>SUMIF(InvoicesInput!A$15:A$24, A125, InvoicesInput!B$15:B$24)</f>
        <v>0</v>
      </c>
      <c r="G125">
        <f t="shared" si="1"/>
        <v>0</v>
      </c>
    </row>
    <row r="126" spans="6:7" ht="15.75" customHeight="1">
      <c r="F126">
        <f>SUMIF(InvoicesInput!A$15:A$24, A126, InvoicesInput!B$15:B$24)</f>
        <v>0</v>
      </c>
      <c r="G126">
        <f t="shared" si="1"/>
        <v>0</v>
      </c>
    </row>
    <row r="127" spans="6:7" ht="15.75" customHeight="1">
      <c r="F127">
        <f>SUMIF(InvoicesInput!A$15:A$24, A127, InvoicesInput!B$15:B$24)</f>
        <v>0</v>
      </c>
      <c r="G127">
        <f t="shared" si="1"/>
        <v>0</v>
      </c>
    </row>
    <row r="128" spans="6:7" ht="15.75" customHeight="1">
      <c r="F128">
        <f>SUMIF(InvoicesInput!A$15:A$24, A128, InvoicesInput!B$15:B$24)</f>
        <v>0</v>
      </c>
      <c r="G128">
        <f t="shared" si="1"/>
        <v>0</v>
      </c>
    </row>
    <row r="129" spans="6:7" ht="15.75" customHeight="1">
      <c r="F129">
        <f>SUMIF(InvoicesInput!A$15:A$24, A129, InvoicesInput!B$15:B$24)</f>
        <v>0</v>
      </c>
      <c r="G129">
        <f t="shared" si="1"/>
        <v>0</v>
      </c>
    </row>
    <row r="130" spans="6:7" ht="15.75" customHeight="1">
      <c r="F130">
        <f>SUMIF(InvoicesInput!A$15:A$24, A130, InvoicesInput!B$15:B$24)</f>
        <v>0</v>
      </c>
      <c r="G130">
        <f t="shared" si="1"/>
        <v>0</v>
      </c>
    </row>
    <row r="131" spans="6:7" ht="15.75" customHeight="1">
      <c r="F131">
        <f>SUMIF(InvoicesInput!A$15:A$24, A131, InvoicesInput!B$15:B$24)</f>
        <v>0</v>
      </c>
      <c r="G131">
        <f t="shared" ref="G131:G194" si="2">B131 - F131</f>
        <v>0</v>
      </c>
    </row>
    <row r="132" spans="6:7" ht="15.75" customHeight="1">
      <c r="F132">
        <f>SUMIF(InvoicesInput!A$15:A$24, A132, InvoicesInput!B$15:B$24)</f>
        <v>0</v>
      </c>
      <c r="G132">
        <f t="shared" si="2"/>
        <v>0</v>
      </c>
    </row>
    <row r="133" spans="6:7" ht="15.75" customHeight="1">
      <c r="F133">
        <f>SUMIF(InvoicesInput!A$15:A$24, A133, InvoicesInput!B$15:B$24)</f>
        <v>0</v>
      </c>
      <c r="G133">
        <f t="shared" si="2"/>
        <v>0</v>
      </c>
    </row>
    <row r="134" spans="6:7" ht="15.75" customHeight="1">
      <c r="F134">
        <f>SUMIF(InvoicesInput!A$15:A$24, A134, InvoicesInput!B$15:B$24)</f>
        <v>0</v>
      </c>
      <c r="G134">
        <f t="shared" si="2"/>
        <v>0</v>
      </c>
    </row>
    <row r="135" spans="6:7" ht="15.75" customHeight="1">
      <c r="F135">
        <f>SUMIF(InvoicesInput!A$15:A$24, A135, InvoicesInput!B$15:B$24)</f>
        <v>0</v>
      </c>
      <c r="G135">
        <f t="shared" si="2"/>
        <v>0</v>
      </c>
    </row>
    <row r="136" spans="6:7" ht="15.75" customHeight="1">
      <c r="F136">
        <f>SUMIF(InvoicesInput!A$15:A$24, A136, InvoicesInput!B$15:B$24)</f>
        <v>0</v>
      </c>
      <c r="G136">
        <f t="shared" si="2"/>
        <v>0</v>
      </c>
    </row>
    <row r="137" spans="6:7" ht="15.75" customHeight="1">
      <c r="F137">
        <f>SUMIF(InvoicesInput!A$15:A$24, A137, InvoicesInput!B$15:B$24)</f>
        <v>0</v>
      </c>
      <c r="G137">
        <f t="shared" si="2"/>
        <v>0</v>
      </c>
    </row>
    <row r="138" spans="6:7" ht="15.75" customHeight="1">
      <c r="F138">
        <f>SUMIF(InvoicesInput!A$15:A$24, A138, InvoicesInput!B$15:B$24)</f>
        <v>0</v>
      </c>
      <c r="G138">
        <f t="shared" si="2"/>
        <v>0</v>
      </c>
    </row>
    <row r="139" spans="6:7" ht="15.75" customHeight="1">
      <c r="F139">
        <f>SUMIF(InvoicesInput!A$15:A$24, A139, InvoicesInput!B$15:B$24)</f>
        <v>0</v>
      </c>
      <c r="G139">
        <f t="shared" si="2"/>
        <v>0</v>
      </c>
    </row>
    <row r="140" spans="6:7" ht="15.75" customHeight="1">
      <c r="F140">
        <f>SUMIF(InvoicesInput!A$15:A$24, A140, InvoicesInput!B$15:B$24)</f>
        <v>0</v>
      </c>
      <c r="G140">
        <f t="shared" si="2"/>
        <v>0</v>
      </c>
    </row>
    <row r="141" spans="6:7" ht="15.75" customHeight="1">
      <c r="F141">
        <f>SUMIF(InvoicesInput!A$15:A$24, A141, InvoicesInput!B$15:B$24)</f>
        <v>0</v>
      </c>
      <c r="G141">
        <f t="shared" si="2"/>
        <v>0</v>
      </c>
    </row>
    <row r="142" spans="6:7" ht="15.75" customHeight="1">
      <c r="F142">
        <f>SUMIF(InvoicesInput!A$15:A$24, A142, InvoicesInput!B$15:B$24)</f>
        <v>0</v>
      </c>
      <c r="G142">
        <f t="shared" si="2"/>
        <v>0</v>
      </c>
    </row>
    <row r="143" spans="6:7" ht="15.75" customHeight="1">
      <c r="F143">
        <f>SUMIF(InvoicesInput!A$15:A$24, A143, InvoicesInput!B$15:B$24)</f>
        <v>0</v>
      </c>
      <c r="G143">
        <f t="shared" si="2"/>
        <v>0</v>
      </c>
    </row>
    <row r="144" spans="6:7" ht="15.75" customHeight="1">
      <c r="F144">
        <f>SUMIF(InvoicesInput!A$15:A$24, A144, InvoicesInput!B$15:B$24)</f>
        <v>0</v>
      </c>
      <c r="G144">
        <f t="shared" si="2"/>
        <v>0</v>
      </c>
    </row>
    <row r="145" spans="6:7" ht="15.75" customHeight="1">
      <c r="F145">
        <f>SUMIF(InvoicesInput!A$15:A$24, A145, InvoicesInput!B$15:B$24)</f>
        <v>0</v>
      </c>
      <c r="G145">
        <f t="shared" si="2"/>
        <v>0</v>
      </c>
    </row>
    <row r="146" spans="6:7" ht="15.75" customHeight="1">
      <c r="F146">
        <f>SUMIF(InvoicesInput!A$15:A$24, A146, InvoicesInput!B$15:B$24)</f>
        <v>0</v>
      </c>
      <c r="G146">
        <f t="shared" si="2"/>
        <v>0</v>
      </c>
    </row>
    <row r="147" spans="6:7" ht="15.75" customHeight="1">
      <c r="F147">
        <f>SUMIF(InvoicesInput!A$15:A$24, A147, InvoicesInput!B$15:B$24)</f>
        <v>0</v>
      </c>
      <c r="G147">
        <f t="shared" si="2"/>
        <v>0</v>
      </c>
    </row>
    <row r="148" spans="6:7" ht="15.75" customHeight="1">
      <c r="F148">
        <f>SUMIF(InvoicesInput!A$15:A$24, A148, InvoicesInput!B$15:B$24)</f>
        <v>0</v>
      </c>
      <c r="G148">
        <f t="shared" si="2"/>
        <v>0</v>
      </c>
    </row>
    <row r="149" spans="6:7" ht="15.75" customHeight="1">
      <c r="F149">
        <f>SUMIF(InvoicesInput!A$15:A$24, A149, InvoicesInput!B$15:B$24)</f>
        <v>0</v>
      </c>
      <c r="G149">
        <f t="shared" si="2"/>
        <v>0</v>
      </c>
    </row>
    <row r="150" spans="6:7" ht="15.75" customHeight="1">
      <c r="F150">
        <f>SUMIF(InvoicesInput!A$15:A$24, A150, InvoicesInput!B$15:B$24)</f>
        <v>0</v>
      </c>
      <c r="G150">
        <f t="shared" si="2"/>
        <v>0</v>
      </c>
    </row>
    <row r="151" spans="6:7" ht="15.75" customHeight="1">
      <c r="F151">
        <f>SUMIF(InvoicesInput!A$15:A$24, A151, InvoicesInput!B$15:B$24)</f>
        <v>0</v>
      </c>
      <c r="G151">
        <f t="shared" si="2"/>
        <v>0</v>
      </c>
    </row>
    <row r="152" spans="6:7" ht="15.75" customHeight="1">
      <c r="F152">
        <f>SUMIF(InvoicesInput!A$15:A$24, A152, InvoicesInput!B$15:B$24)</f>
        <v>0</v>
      </c>
      <c r="G152">
        <f t="shared" si="2"/>
        <v>0</v>
      </c>
    </row>
    <row r="153" spans="6:7" ht="15.75" customHeight="1">
      <c r="F153">
        <f>SUMIF(InvoicesInput!A$15:A$24, A153, InvoicesInput!B$15:B$24)</f>
        <v>0</v>
      </c>
      <c r="G153">
        <f t="shared" si="2"/>
        <v>0</v>
      </c>
    </row>
    <row r="154" spans="6:7" ht="15.75" customHeight="1">
      <c r="F154">
        <f>SUMIF(InvoicesInput!A$15:A$24, A154, InvoicesInput!B$15:B$24)</f>
        <v>0</v>
      </c>
      <c r="G154">
        <f t="shared" si="2"/>
        <v>0</v>
      </c>
    </row>
    <row r="155" spans="6:7" ht="15.75" customHeight="1">
      <c r="F155">
        <f>SUMIF(InvoicesInput!A$15:A$24, A155, InvoicesInput!B$15:B$24)</f>
        <v>0</v>
      </c>
      <c r="G155">
        <f t="shared" si="2"/>
        <v>0</v>
      </c>
    </row>
    <row r="156" spans="6:7" ht="15.75" customHeight="1">
      <c r="F156">
        <f>SUMIF(InvoicesInput!A$15:A$24, A156, InvoicesInput!B$15:B$24)</f>
        <v>0</v>
      </c>
      <c r="G156">
        <f t="shared" si="2"/>
        <v>0</v>
      </c>
    </row>
    <row r="157" spans="6:7" ht="15.75" customHeight="1">
      <c r="F157">
        <f>SUMIF(InvoicesInput!A$15:A$24, A157, InvoicesInput!B$15:B$24)</f>
        <v>0</v>
      </c>
      <c r="G157">
        <f t="shared" si="2"/>
        <v>0</v>
      </c>
    </row>
    <row r="158" spans="6:7" ht="15.75" customHeight="1">
      <c r="F158">
        <f>SUMIF(InvoicesInput!A$15:A$24, A158, InvoicesInput!B$15:B$24)</f>
        <v>0</v>
      </c>
      <c r="G158">
        <f t="shared" si="2"/>
        <v>0</v>
      </c>
    </row>
    <row r="159" spans="6:7" ht="15.75" customHeight="1">
      <c r="F159">
        <f>SUMIF(InvoicesInput!A$15:A$24, A159, InvoicesInput!B$15:B$24)</f>
        <v>0</v>
      </c>
      <c r="G159">
        <f t="shared" si="2"/>
        <v>0</v>
      </c>
    </row>
    <row r="160" spans="6:7" ht="15.75" customHeight="1">
      <c r="F160">
        <f>SUMIF(InvoicesInput!A$15:A$24, A160, InvoicesInput!B$15:B$24)</f>
        <v>0</v>
      </c>
      <c r="G160">
        <f t="shared" si="2"/>
        <v>0</v>
      </c>
    </row>
    <row r="161" spans="6:7" ht="15.75" customHeight="1">
      <c r="F161">
        <f>SUMIF(InvoicesInput!A$15:A$24, A161, InvoicesInput!B$15:B$24)</f>
        <v>0</v>
      </c>
      <c r="G161">
        <f t="shared" si="2"/>
        <v>0</v>
      </c>
    </row>
    <row r="162" spans="6:7" ht="15.75" customHeight="1">
      <c r="F162">
        <f>SUMIF(InvoicesInput!A$15:A$24, A162, InvoicesInput!B$15:B$24)</f>
        <v>0</v>
      </c>
      <c r="G162">
        <f t="shared" si="2"/>
        <v>0</v>
      </c>
    </row>
    <row r="163" spans="6:7" ht="15.75" customHeight="1">
      <c r="F163">
        <f>SUMIF(InvoicesInput!A$15:A$24, A163, InvoicesInput!B$15:B$24)</f>
        <v>0</v>
      </c>
      <c r="G163">
        <f t="shared" si="2"/>
        <v>0</v>
      </c>
    </row>
    <row r="164" spans="6:7" ht="15.75" customHeight="1">
      <c r="F164">
        <f>SUMIF(InvoicesInput!A$15:A$24, A164, InvoicesInput!B$15:B$24)</f>
        <v>0</v>
      </c>
      <c r="G164">
        <f t="shared" si="2"/>
        <v>0</v>
      </c>
    </row>
    <row r="165" spans="6:7" ht="15.75" customHeight="1">
      <c r="F165">
        <f>SUMIF(InvoicesInput!A$15:A$24, A165, InvoicesInput!B$15:B$24)</f>
        <v>0</v>
      </c>
      <c r="G165">
        <f t="shared" si="2"/>
        <v>0</v>
      </c>
    </row>
    <row r="166" spans="6:7" ht="15.75" customHeight="1">
      <c r="F166">
        <f>SUMIF(InvoicesInput!A$15:A$24, A166, InvoicesInput!B$15:B$24)</f>
        <v>0</v>
      </c>
      <c r="G166">
        <f t="shared" si="2"/>
        <v>0</v>
      </c>
    </row>
    <row r="167" spans="6:7" ht="15.75" customHeight="1">
      <c r="F167">
        <f>SUMIF(InvoicesInput!A$15:A$24, A167, InvoicesInput!B$15:B$24)</f>
        <v>0</v>
      </c>
      <c r="G167">
        <f t="shared" si="2"/>
        <v>0</v>
      </c>
    </row>
    <row r="168" spans="6:7" ht="15.75" customHeight="1">
      <c r="F168">
        <f>SUMIF(InvoicesInput!A$15:A$24, A168, InvoicesInput!B$15:B$24)</f>
        <v>0</v>
      </c>
      <c r="G168">
        <f t="shared" si="2"/>
        <v>0</v>
      </c>
    </row>
    <row r="169" spans="6:7" ht="15.75" customHeight="1">
      <c r="F169">
        <f>SUMIF(InvoicesInput!A$15:A$24, A169, InvoicesInput!B$15:B$24)</f>
        <v>0</v>
      </c>
      <c r="G169">
        <f t="shared" si="2"/>
        <v>0</v>
      </c>
    </row>
    <row r="170" spans="6:7" ht="15.75" customHeight="1">
      <c r="F170">
        <f>SUMIF(InvoicesInput!A$15:A$24, A170, InvoicesInput!B$15:B$24)</f>
        <v>0</v>
      </c>
      <c r="G170">
        <f t="shared" si="2"/>
        <v>0</v>
      </c>
    </row>
    <row r="171" spans="6:7" ht="15.75" customHeight="1">
      <c r="F171">
        <f>SUMIF(InvoicesInput!A$15:A$24, A171, InvoicesInput!B$15:B$24)</f>
        <v>0</v>
      </c>
      <c r="G171">
        <f t="shared" si="2"/>
        <v>0</v>
      </c>
    </row>
    <row r="172" spans="6:7" ht="15.75" customHeight="1">
      <c r="F172">
        <f>SUMIF(InvoicesInput!A$15:A$24, A172, InvoicesInput!B$15:B$24)</f>
        <v>0</v>
      </c>
      <c r="G172">
        <f t="shared" si="2"/>
        <v>0</v>
      </c>
    </row>
    <row r="173" spans="6:7" ht="15.75" customHeight="1">
      <c r="F173">
        <f>SUMIF(InvoicesInput!A$15:A$24, A173, InvoicesInput!B$15:B$24)</f>
        <v>0</v>
      </c>
      <c r="G173">
        <f t="shared" si="2"/>
        <v>0</v>
      </c>
    </row>
    <row r="174" spans="6:7" ht="15.75" customHeight="1">
      <c r="F174">
        <f>SUMIF(InvoicesInput!A$15:A$24, A174, InvoicesInput!B$15:B$24)</f>
        <v>0</v>
      </c>
      <c r="G174">
        <f t="shared" si="2"/>
        <v>0</v>
      </c>
    </row>
    <row r="175" spans="6:7" ht="15.75" customHeight="1">
      <c r="F175">
        <f>SUMIF(InvoicesInput!A$15:A$24, A175, InvoicesInput!B$15:B$24)</f>
        <v>0</v>
      </c>
      <c r="G175">
        <f t="shared" si="2"/>
        <v>0</v>
      </c>
    </row>
    <row r="176" spans="6:7" ht="15.75" customHeight="1">
      <c r="F176">
        <f>SUMIF(InvoicesInput!A$15:A$24, A176, InvoicesInput!B$15:B$24)</f>
        <v>0</v>
      </c>
      <c r="G176">
        <f t="shared" si="2"/>
        <v>0</v>
      </c>
    </row>
    <row r="177" spans="6:7" ht="15.75" customHeight="1">
      <c r="F177">
        <f>SUMIF(InvoicesInput!A$15:A$24, A177, InvoicesInput!B$15:B$24)</f>
        <v>0</v>
      </c>
      <c r="G177">
        <f t="shared" si="2"/>
        <v>0</v>
      </c>
    </row>
    <row r="178" spans="6:7" ht="15.75" customHeight="1">
      <c r="F178">
        <f>SUMIF(InvoicesInput!A$15:A$24, A178, InvoicesInput!B$15:B$24)</f>
        <v>0</v>
      </c>
      <c r="G178">
        <f t="shared" si="2"/>
        <v>0</v>
      </c>
    </row>
    <row r="179" spans="6:7" ht="15.75" customHeight="1">
      <c r="F179">
        <f>SUMIF(InvoicesInput!A$15:A$24, A179, InvoicesInput!B$15:B$24)</f>
        <v>0</v>
      </c>
      <c r="G179">
        <f t="shared" si="2"/>
        <v>0</v>
      </c>
    </row>
    <row r="180" spans="6:7" ht="15.75" customHeight="1">
      <c r="F180">
        <f>SUMIF(InvoicesInput!A$15:A$24, A180, InvoicesInput!B$15:B$24)</f>
        <v>0</v>
      </c>
      <c r="G180">
        <f t="shared" si="2"/>
        <v>0</v>
      </c>
    </row>
    <row r="181" spans="6:7" ht="15.75" customHeight="1">
      <c r="F181">
        <f>SUMIF(InvoicesInput!A$15:A$24, A181, InvoicesInput!B$15:B$24)</f>
        <v>0</v>
      </c>
      <c r="G181">
        <f t="shared" si="2"/>
        <v>0</v>
      </c>
    </row>
    <row r="182" spans="6:7" ht="15.75" customHeight="1">
      <c r="F182">
        <f>SUMIF(InvoicesInput!A$15:A$24, A182, InvoicesInput!B$15:B$24)</f>
        <v>0</v>
      </c>
      <c r="G182">
        <f t="shared" si="2"/>
        <v>0</v>
      </c>
    </row>
    <row r="183" spans="6:7" ht="15.75" customHeight="1">
      <c r="F183">
        <f>SUMIF(InvoicesInput!A$15:A$24, A183, InvoicesInput!B$15:B$24)</f>
        <v>0</v>
      </c>
      <c r="G183">
        <f t="shared" si="2"/>
        <v>0</v>
      </c>
    </row>
    <row r="184" spans="6:7" ht="15.75" customHeight="1">
      <c r="F184">
        <f>SUMIF(InvoicesInput!A$15:A$24, A184, InvoicesInput!B$15:B$24)</f>
        <v>0</v>
      </c>
      <c r="G184">
        <f t="shared" si="2"/>
        <v>0</v>
      </c>
    </row>
    <row r="185" spans="6:7" ht="15.75" customHeight="1">
      <c r="F185">
        <f>SUMIF(InvoicesInput!A$15:A$24, A185, InvoicesInput!B$15:B$24)</f>
        <v>0</v>
      </c>
      <c r="G185">
        <f t="shared" si="2"/>
        <v>0</v>
      </c>
    </row>
    <row r="186" spans="6:7" ht="15.75" customHeight="1">
      <c r="F186">
        <f>SUMIF(InvoicesInput!A$15:A$24, A186, InvoicesInput!B$15:B$24)</f>
        <v>0</v>
      </c>
      <c r="G186">
        <f t="shared" si="2"/>
        <v>0</v>
      </c>
    </row>
    <row r="187" spans="6:7" ht="15.75" customHeight="1">
      <c r="F187">
        <f>SUMIF(InvoicesInput!A$15:A$24, A187, InvoicesInput!B$15:B$24)</f>
        <v>0</v>
      </c>
      <c r="G187">
        <f t="shared" si="2"/>
        <v>0</v>
      </c>
    </row>
    <row r="188" spans="6:7" ht="15.75" customHeight="1">
      <c r="F188">
        <f>SUMIF(InvoicesInput!A$15:A$24, A188, InvoicesInput!B$15:B$24)</f>
        <v>0</v>
      </c>
      <c r="G188">
        <f t="shared" si="2"/>
        <v>0</v>
      </c>
    </row>
    <row r="189" spans="6:7" ht="15.75" customHeight="1">
      <c r="F189">
        <f>SUMIF(InvoicesInput!A$15:A$24, A189, InvoicesInput!B$15:B$24)</f>
        <v>0</v>
      </c>
      <c r="G189">
        <f t="shared" si="2"/>
        <v>0</v>
      </c>
    </row>
    <row r="190" spans="6:7" ht="15.75" customHeight="1">
      <c r="F190">
        <f>SUMIF(InvoicesInput!A$15:A$24, A190, InvoicesInput!B$15:B$24)</f>
        <v>0</v>
      </c>
      <c r="G190">
        <f t="shared" si="2"/>
        <v>0</v>
      </c>
    </row>
    <row r="191" spans="6:7" ht="15.75" customHeight="1">
      <c r="F191">
        <f>SUMIF(InvoicesInput!A$15:A$24, A191, InvoicesInput!B$15:B$24)</f>
        <v>0</v>
      </c>
      <c r="G191">
        <f t="shared" si="2"/>
        <v>0</v>
      </c>
    </row>
    <row r="192" spans="6:7" ht="15.75" customHeight="1">
      <c r="F192">
        <f>SUMIF(InvoicesInput!A$15:A$24, A192, InvoicesInput!B$15:B$24)</f>
        <v>0</v>
      </c>
      <c r="G192">
        <f t="shared" si="2"/>
        <v>0</v>
      </c>
    </row>
    <row r="193" spans="6:7" ht="15.75" customHeight="1">
      <c r="F193">
        <f>SUMIF(InvoicesInput!A$15:A$24, A193, InvoicesInput!B$15:B$24)</f>
        <v>0</v>
      </c>
      <c r="G193">
        <f t="shared" si="2"/>
        <v>0</v>
      </c>
    </row>
    <row r="194" spans="6:7" ht="15.75" customHeight="1">
      <c r="F194">
        <f>SUMIF(InvoicesInput!A$15:A$24, A194, InvoicesInput!B$15:B$24)</f>
        <v>0</v>
      </c>
      <c r="G194">
        <f t="shared" si="2"/>
        <v>0</v>
      </c>
    </row>
    <row r="195" spans="6:7" ht="15.75" customHeight="1">
      <c r="F195">
        <f>SUMIF(InvoicesInput!A$15:A$24, A195, InvoicesInput!B$15:B$24)</f>
        <v>0</v>
      </c>
      <c r="G195">
        <f t="shared" ref="G195:G258" si="3">B195 - F195</f>
        <v>0</v>
      </c>
    </row>
    <row r="196" spans="6:7" ht="15.75" customHeight="1">
      <c r="F196">
        <f>SUMIF(InvoicesInput!A$15:A$24, A196, InvoicesInput!B$15:B$24)</f>
        <v>0</v>
      </c>
      <c r="G196">
        <f t="shared" si="3"/>
        <v>0</v>
      </c>
    </row>
    <row r="197" spans="6:7" ht="15.75" customHeight="1">
      <c r="F197">
        <f>SUMIF(InvoicesInput!A$15:A$24, A197, InvoicesInput!B$15:B$24)</f>
        <v>0</v>
      </c>
      <c r="G197">
        <f t="shared" si="3"/>
        <v>0</v>
      </c>
    </row>
    <row r="198" spans="6:7" ht="15.75" customHeight="1">
      <c r="F198">
        <f>SUMIF(InvoicesInput!A$15:A$24, A198, InvoicesInput!B$15:B$24)</f>
        <v>0</v>
      </c>
      <c r="G198">
        <f t="shared" si="3"/>
        <v>0</v>
      </c>
    </row>
    <row r="199" spans="6:7" ht="15.75" customHeight="1">
      <c r="F199">
        <f>SUMIF(InvoicesInput!A$15:A$24, A199, InvoicesInput!B$15:B$24)</f>
        <v>0</v>
      </c>
      <c r="G199">
        <f t="shared" si="3"/>
        <v>0</v>
      </c>
    </row>
    <row r="200" spans="6:7" ht="15.75" customHeight="1">
      <c r="F200">
        <f>SUMIF(InvoicesInput!A$15:A$24, A200, InvoicesInput!B$15:B$24)</f>
        <v>0</v>
      </c>
      <c r="G200">
        <f t="shared" si="3"/>
        <v>0</v>
      </c>
    </row>
    <row r="201" spans="6:7" ht="15.75" customHeight="1">
      <c r="F201">
        <f>SUMIF(InvoicesInput!A$15:A$24, A201, InvoicesInput!B$15:B$24)</f>
        <v>0</v>
      </c>
      <c r="G201">
        <f t="shared" si="3"/>
        <v>0</v>
      </c>
    </row>
    <row r="202" spans="6:7" ht="15.75" customHeight="1">
      <c r="F202">
        <f>SUMIF(InvoicesInput!A$15:A$24, A202, InvoicesInput!B$15:B$24)</f>
        <v>0</v>
      </c>
      <c r="G202">
        <f t="shared" si="3"/>
        <v>0</v>
      </c>
    </row>
    <row r="203" spans="6:7" ht="15.75" customHeight="1">
      <c r="F203">
        <f>SUMIF(InvoicesInput!A$15:A$24, A203, InvoicesInput!B$15:B$24)</f>
        <v>0</v>
      </c>
      <c r="G203">
        <f t="shared" si="3"/>
        <v>0</v>
      </c>
    </row>
    <row r="204" spans="6:7" ht="15.75" customHeight="1">
      <c r="F204">
        <f>SUMIF(InvoicesInput!A$15:A$24, A204, InvoicesInput!B$15:B$24)</f>
        <v>0</v>
      </c>
      <c r="G204">
        <f t="shared" si="3"/>
        <v>0</v>
      </c>
    </row>
    <row r="205" spans="6:7" ht="15.75" customHeight="1">
      <c r="F205">
        <f>SUMIF(InvoicesInput!A$15:A$24, A205, InvoicesInput!B$15:B$24)</f>
        <v>0</v>
      </c>
      <c r="G205">
        <f t="shared" si="3"/>
        <v>0</v>
      </c>
    </row>
    <row r="206" spans="6:7" ht="15.75" customHeight="1">
      <c r="F206">
        <f>SUMIF(InvoicesInput!A$15:A$24, A206, InvoicesInput!B$15:B$24)</f>
        <v>0</v>
      </c>
      <c r="G206">
        <f t="shared" si="3"/>
        <v>0</v>
      </c>
    </row>
    <row r="207" spans="6:7" ht="15.75" customHeight="1">
      <c r="F207">
        <f>SUMIF(InvoicesInput!A$15:A$24, A207, InvoicesInput!B$15:B$24)</f>
        <v>0</v>
      </c>
      <c r="G207">
        <f t="shared" si="3"/>
        <v>0</v>
      </c>
    </row>
    <row r="208" spans="6:7" ht="15.75" customHeight="1">
      <c r="F208">
        <f>SUMIF(InvoicesInput!A$15:A$24, A208, InvoicesInput!B$15:B$24)</f>
        <v>0</v>
      </c>
      <c r="G208">
        <f t="shared" si="3"/>
        <v>0</v>
      </c>
    </row>
    <row r="209" spans="6:7" ht="15.75" customHeight="1">
      <c r="F209">
        <f>SUMIF(InvoicesInput!A$15:A$24, A209, InvoicesInput!B$15:B$24)</f>
        <v>0</v>
      </c>
      <c r="G209">
        <f t="shared" si="3"/>
        <v>0</v>
      </c>
    </row>
    <row r="210" spans="6:7" ht="15.75" customHeight="1">
      <c r="F210">
        <f>SUMIF(InvoicesInput!A$15:A$24, A210, InvoicesInput!B$15:B$24)</f>
        <v>0</v>
      </c>
      <c r="G210">
        <f t="shared" si="3"/>
        <v>0</v>
      </c>
    </row>
    <row r="211" spans="6:7" ht="15.75" customHeight="1">
      <c r="F211">
        <f>SUMIF(InvoicesInput!A$15:A$24, A211, InvoicesInput!B$15:B$24)</f>
        <v>0</v>
      </c>
      <c r="G211">
        <f t="shared" si="3"/>
        <v>0</v>
      </c>
    </row>
    <row r="212" spans="6:7" ht="15.75" customHeight="1">
      <c r="F212">
        <f>SUMIF(InvoicesInput!A$15:A$24, A212, InvoicesInput!B$15:B$24)</f>
        <v>0</v>
      </c>
      <c r="G212">
        <f t="shared" si="3"/>
        <v>0</v>
      </c>
    </row>
    <row r="213" spans="6:7" ht="15.75" customHeight="1">
      <c r="F213">
        <f>SUMIF(InvoicesInput!A$15:A$24, A213, InvoicesInput!B$15:B$24)</f>
        <v>0</v>
      </c>
      <c r="G213">
        <f t="shared" si="3"/>
        <v>0</v>
      </c>
    </row>
    <row r="214" spans="6:7" ht="15.75" customHeight="1">
      <c r="F214">
        <f>SUMIF(InvoicesInput!A$15:A$24, A214, InvoicesInput!B$15:B$24)</f>
        <v>0</v>
      </c>
      <c r="G214">
        <f t="shared" si="3"/>
        <v>0</v>
      </c>
    </row>
    <row r="215" spans="6:7" ht="15.75" customHeight="1">
      <c r="F215">
        <f>SUMIF(InvoicesInput!A$15:A$24, A215, InvoicesInput!B$15:B$24)</f>
        <v>0</v>
      </c>
      <c r="G215">
        <f t="shared" si="3"/>
        <v>0</v>
      </c>
    </row>
    <row r="216" spans="6:7" ht="15.75" customHeight="1">
      <c r="F216">
        <f>SUMIF(InvoicesInput!A$15:A$24, A216, InvoicesInput!B$15:B$24)</f>
        <v>0</v>
      </c>
      <c r="G216">
        <f t="shared" si="3"/>
        <v>0</v>
      </c>
    </row>
    <row r="217" spans="6:7" ht="15.75" customHeight="1">
      <c r="F217">
        <f>SUMIF(InvoicesInput!A$15:A$24, A217, InvoicesInput!B$15:B$24)</f>
        <v>0</v>
      </c>
      <c r="G217">
        <f t="shared" si="3"/>
        <v>0</v>
      </c>
    </row>
    <row r="218" spans="6:7" ht="15.75" customHeight="1">
      <c r="F218">
        <f>SUMIF(InvoicesInput!A$15:A$24, A218, InvoicesInput!B$15:B$24)</f>
        <v>0</v>
      </c>
      <c r="G218">
        <f t="shared" si="3"/>
        <v>0</v>
      </c>
    </row>
    <row r="219" spans="6:7" ht="15.75" customHeight="1">
      <c r="F219">
        <f>SUMIF(InvoicesInput!A$15:A$24, A219, InvoicesInput!B$15:B$24)</f>
        <v>0</v>
      </c>
      <c r="G219">
        <f t="shared" si="3"/>
        <v>0</v>
      </c>
    </row>
    <row r="220" spans="6:7" ht="15.75" customHeight="1">
      <c r="F220">
        <f>SUMIF(InvoicesInput!A$15:A$24, A220, InvoicesInput!B$15:B$24)</f>
        <v>0</v>
      </c>
      <c r="G220">
        <f t="shared" si="3"/>
        <v>0</v>
      </c>
    </row>
    <row r="221" spans="6:7" ht="15.75" customHeight="1">
      <c r="F221">
        <f>SUMIF(InvoicesInput!A$15:A$24, A221, InvoicesInput!B$15:B$24)</f>
        <v>0</v>
      </c>
      <c r="G221">
        <f t="shared" si="3"/>
        <v>0</v>
      </c>
    </row>
    <row r="222" spans="6:7" ht="15.75" customHeight="1">
      <c r="F222">
        <f>SUMIF(InvoicesInput!A$15:A$24, A222, InvoicesInput!B$15:B$24)</f>
        <v>0</v>
      </c>
      <c r="G222">
        <f t="shared" si="3"/>
        <v>0</v>
      </c>
    </row>
    <row r="223" spans="6:7" ht="15.75" customHeight="1">
      <c r="F223">
        <f>SUMIF(InvoicesInput!A$15:A$24, A223, InvoicesInput!B$15:B$24)</f>
        <v>0</v>
      </c>
      <c r="G223">
        <f t="shared" si="3"/>
        <v>0</v>
      </c>
    </row>
    <row r="224" spans="6:7" ht="15.75" customHeight="1">
      <c r="F224">
        <f>SUMIF(InvoicesInput!A$15:A$24, A224, InvoicesInput!B$15:B$24)</f>
        <v>0</v>
      </c>
      <c r="G224">
        <f t="shared" si="3"/>
        <v>0</v>
      </c>
    </row>
    <row r="225" spans="6:7" ht="15.75" customHeight="1">
      <c r="F225">
        <f>SUMIF(InvoicesInput!A$15:A$24, A225, InvoicesInput!B$15:B$24)</f>
        <v>0</v>
      </c>
      <c r="G225">
        <f t="shared" si="3"/>
        <v>0</v>
      </c>
    </row>
    <row r="226" spans="6:7" ht="15.75" customHeight="1">
      <c r="F226">
        <f>SUMIF(InvoicesInput!A$15:A$24, A226, InvoicesInput!B$15:B$24)</f>
        <v>0</v>
      </c>
      <c r="G226">
        <f t="shared" si="3"/>
        <v>0</v>
      </c>
    </row>
    <row r="227" spans="6:7" ht="15.75" customHeight="1">
      <c r="F227">
        <f>SUMIF(InvoicesInput!A$15:A$24, A227, InvoicesInput!B$15:B$24)</f>
        <v>0</v>
      </c>
      <c r="G227">
        <f t="shared" si="3"/>
        <v>0</v>
      </c>
    </row>
    <row r="228" spans="6:7" ht="15.75" customHeight="1">
      <c r="F228">
        <f>SUMIF(InvoicesInput!A$15:A$24, A228, InvoicesInput!B$15:B$24)</f>
        <v>0</v>
      </c>
      <c r="G228">
        <f t="shared" si="3"/>
        <v>0</v>
      </c>
    </row>
    <row r="229" spans="6:7" ht="15.75" customHeight="1">
      <c r="F229">
        <f>SUMIF(InvoicesInput!A$15:A$24, A229, InvoicesInput!B$15:B$24)</f>
        <v>0</v>
      </c>
      <c r="G229">
        <f t="shared" si="3"/>
        <v>0</v>
      </c>
    </row>
    <row r="230" spans="6:7" ht="15.75" customHeight="1">
      <c r="F230">
        <f>SUMIF(InvoicesInput!A$15:A$24, A230, InvoicesInput!B$15:B$24)</f>
        <v>0</v>
      </c>
      <c r="G230">
        <f t="shared" si="3"/>
        <v>0</v>
      </c>
    </row>
    <row r="231" spans="6:7" ht="15.75" customHeight="1">
      <c r="F231">
        <f>SUMIF(InvoicesInput!A$15:A$24, A231, InvoicesInput!B$15:B$24)</f>
        <v>0</v>
      </c>
      <c r="G231">
        <f t="shared" si="3"/>
        <v>0</v>
      </c>
    </row>
    <row r="232" spans="6:7" ht="15.75" customHeight="1">
      <c r="F232">
        <f>SUMIF(InvoicesInput!A$15:A$24, A232, InvoicesInput!B$15:B$24)</f>
        <v>0</v>
      </c>
      <c r="G232">
        <f t="shared" si="3"/>
        <v>0</v>
      </c>
    </row>
    <row r="233" spans="6:7" ht="15.75" customHeight="1">
      <c r="F233">
        <f>SUMIF(InvoicesInput!A$15:A$24, A233, InvoicesInput!B$15:B$24)</f>
        <v>0</v>
      </c>
      <c r="G233">
        <f t="shared" si="3"/>
        <v>0</v>
      </c>
    </row>
    <row r="234" spans="6:7" ht="15.75" customHeight="1">
      <c r="F234">
        <f>SUMIF(InvoicesInput!A$15:A$24, A234, InvoicesInput!B$15:B$24)</f>
        <v>0</v>
      </c>
      <c r="G234">
        <f t="shared" si="3"/>
        <v>0</v>
      </c>
    </row>
    <row r="235" spans="6:7" ht="15.75" customHeight="1">
      <c r="F235">
        <f>SUMIF(InvoicesInput!A$15:A$24, A235, InvoicesInput!B$15:B$24)</f>
        <v>0</v>
      </c>
      <c r="G235">
        <f t="shared" si="3"/>
        <v>0</v>
      </c>
    </row>
    <row r="236" spans="6:7" ht="15.75" customHeight="1">
      <c r="F236">
        <f>SUMIF(InvoicesInput!A$15:A$24, A236, InvoicesInput!B$15:B$24)</f>
        <v>0</v>
      </c>
      <c r="G236">
        <f t="shared" si="3"/>
        <v>0</v>
      </c>
    </row>
    <row r="237" spans="6:7" ht="15.75" customHeight="1">
      <c r="F237">
        <f>SUMIF(InvoicesInput!A$15:A$24, A237, InvoicesInput!B$15:B$24)</f>
        <v>0</v>
      </c>
      <c r="G237">
        <f t="shared" si="3"/>
        <v>0</v>
      </c>
    </row>
    <row r="238" spans="6:7" ht="15.75" customHeight="1">
      <c r="F238">
        <f>SUMIF(InvoicesInput!A$15:A$24, A238, InvoicesInput!B$15:B$24)</f>
        <v>0</v>
      </c>
      <c r="G238">
        <f t="shared" si="3"/>
        <v>0</v>
      </c>
    </row>
    <row r="239" spans="6:7" ht="15.75" customHeight="1">
      <c r="F239">
        <f>SUMIF(InvoicesInput!A$15:A$24, A239, InvoicesInput!B$15:B$24)</f>
        <v>0</v>
      </c>
      <c r="G239">
        <f t="shared" si="3"/>
        <v>0</v>
      </c>
    </row>
    <row r="240" spans="6:7" ht="15.75" customHeight="1">
      <c r="F240">
        <f>SUMIF(InvoicesInput!A$15:A$24, A240, InvoicesInput!B$15:B$24)</f>
        <v>0</v>
      </c>
      <c r="G240">
        <f t="shared" si="3"/>
        <v>0</v>
      </c>
    </row>
    <row r="241" spans="6:7" ht="15.75" customHeight="1">
      <c r="F241">
        <f>SUMIF(InvoicesInput!A$15:A$24, A241, InvoicesInput!B$15:B$24)</f>
        <v>0</v>
      </c>
      <c r="G241">
        <f t="shared" si="3"/>
        <v>0</v>
      </c>
    </row>
    <row r="242" spans="6:7" ht="15.75" customHeight="1">
      <c r="F242">
        <f>SUMIF(InvoicesInput!A$15:A$24, A242, InvoicesInput!B$15:B$24)</f>
        <v>0</v>
      </c>
      <c r="G242">
        <f t="shared" si="3"/>
        <v>0</v>
      </c>
    </row>
    <row r="243" spans="6:7" ht="15.75" customHeight="1">
      <c r="F243">
        <f>SUMIF(InvoicesInput!A$15:A$24, A243, InvoicesInput!B$15:B$24)</f>
        <v>0</v>
      </c>
      <c r="G243">
        <f t="shared" si="3"/>
        <v>0</v>
      </c>
    </row>
    <row r="244" spans="6:7" ht="15.75" customHeight="1">
      <c r="F244">
        <f>SUMIF(InvoicesInput!A$15:A$24, A244, InvoicesInput!B$15:B$24)</f>
        <v>0</v>
      </c>
      <c r="G244">
        <f t="shared" si="3"/>
        <v>0</v>
      </c>
    </row>
    <row r="245" spans="6:7" ht="15.75" customHeight="1">
      <c r="F245">
        <f>SUMIF(InvoicesInput!A$15:A$24, A245, InvoicesInput!B$15:B$24)</f>
        <v>0</v>
      </c>
      <c r="G245">
        <f t="shared" si="3"/>
        <v>0</v>
      </c>
    </row>
    <row r="246" spans="6:7" ht="15.75" customHeight="1">
      <c r="F246">
        <f>SUMIF(InvoicesInput!A$15:A$24, A246, InvoicesInput!B$15:B$24)</f>
        <v>0</v>
      </c>
      <c r="G246">
        <f t="shared" si="3"/>
        <v>0</v>
      </c>
    </row>
    <row r="247" spans="6:7" ht="15.75" customHeight="1">
      <c r="F247">
        <f>SUMIF(InvoicesInput!A$15:A$24, A247, InvoicesInput!B$15:B$24)</f>
        <v>0</v>
      </c>
      <c r="G247">
        <f t="shared" si="3"/>
        <v>0</v>
      </c>
    </row>
    <row r="248" spans="6:7" ht="15.75" customHeight="1">
      <c r="F248">
        <f>SUMIF(InvoicesInput!A$15:A$24, A248, InvoicesInput!B$15:B$24)</f>
        <v>0</v>
      </c>
      <c r="G248">
        <f t="shared" si="3"/>
        <v>0</v>
      </c>
    </row>
    <row r="249" spans="6:7" ht="15.75" customHeight="1">
      <c r="F249">
        <f>SUMIF(InvoicesInput!A$15:A$24, A249, InvoicesInput!B$15:B$24)</f>
        <v>0</v>
      </c>
      <c r="G249">
        <f t="shared" si="3"/>
        <v>0</v>
      </c>
    </row>
    <row r="250" spans="6:7" ht="15.75" customHeight="1">
      <c r="F250">
        <f>SUMIF(InvoicesInput!A$15:A$24, A250, InvoicesInput!B$15:B$24)</f>
        <v>0</v>
      </c>
      <c r="G250">
        <f t="shared" si="3"/>
        <v>0</v>
      </c>
    </row>
    <row r="251" spans="6:7" ht="15.75" customHeight="1">
      <c r="F251">
        <f>SUMIF(InvoicesInput!A$15:A$24, A251, InvoicesInput!B$15:B$24)</f>
        <v>0</v>
      </c>
      <c r="G251">
        <f t="shared" si="3"/>
        <v>0</v>
      </c>
    </row>
    <row r="252" spans="6:7" ht="15.75" customHeight="1">
      <c r="F252">
        <f>SUMIF(InvoicesInput!A$15:A$24, A252, InvoicesInput!B$15:B$24)</f>
        <v>0</v>
      </c>
      <c r="G252">
        <f t="shared" si="3"/>
        <v>0</v>
      </c>
    </row>
    <row r="253" spans="6:7" ht="15.75" customHeight="1">
      <c r="F253">
        <f>SUMIF(InvoicesInput!A$15:A$24, A253, InvoicesInput!B$15:B$24)</f>
        <v>0</v>
      </c>
      <c r="G253">
        <f t="shared" si="3"/>
        <v>0</v>
      </c>
    </row>
    <row r="254" spans="6:7" ht="15.75" customHeight="1">
      <c r="F254">
        <f>SUMIF(InvoicesInput!A$15:A$24, A254, InvoicesInput!B$15:B$24)</f>
        <v>0</v>
      </c>
      <c r="G254">
        <f t="shared" si="3"/>
        <v>0</v>
      </c>
    </row>
    <row r="255" spans="6:7" ht="15.75" customHeight="1">
      <c r="F255">
        <f>SUMIF(InvoicesInput!A$15:A$24, A255, InvoicesInput!B$15:B$24)</f>
        <v>0</v>
      </c>
      <c r="G255">
        <f t="shared" si="3"/>
        <v>0</v>
      </c>
    </row>
    <row r="256" spans="6:7" ht="15.75" customHeight="1">
      <c r="F256">
        <f>SUMIF(InvoicesInput!A$15:A$24, A256, InvoicesInput!B$15:B$24)</f>
        <v>0</v>
      </c>
      <c r="G256">
        <f t="shared" si="3"/>
        <v>0</v>
      </c>
    </row>
    <row r="257" spans="6:7" ht="15.75" customHeight="1">
      <c r="F257">
        <f>SUMIF(InvoicesInput!A$15:A$24, A257, InvoicesInput!B$15:B$24)</f>
        <v>0</v>
      </c>
      <c r="G257">
        <f t="shared" si="3"/>
        <v>0</v>
      </c>
    </row>
    <row r="258" spans="6:7" ht="15.75" customHeight="1">
      <c r="F258">
        <f>SUMIF(InvoicesInput!A$15:A$24, A258, InvoicesInput!B$15:B$24)</f>
        <v>0</v>
      </c>
      <c r="G258">
        <f t="shared" si="3"/>
        <v>0</v>
      </c>
    </row>
    <row r="259" spans="6:7" ht="15.75" customHeight="1">
      <c r="F259">
        <f>SUMIF(InvoicesInput!A$15:A$24, A259, InvoicesInput!B$15:B$24)</f>
        <v>0</v>
      </c>
      <c r="G259">
        <f t="shared" ref="G259:G322" si="4">B259 - F259</f>
        <v>0</v>
      </c>
    </row>
    <row r="260" spans="6:7" ht="15.75" customHeight="1">
      <c r="F260">
        <f>SUMIF(InvoicesInput!A$15:A$24, A260, InvoicesInput!B$15:B$24)</f>
        <v>0</v>
      </c>
      <c r="G260">
        <f t="shared" si="4"/>
        <v>0</v>
      </c>
    </row>
    <row r="261" spans="6:7" ht="15.75" customHeight="1">
      <c r="F261">
        <f>SUMIF(InvoicesInput!A$15:A$24, A261, InvoicesInput!B$15:B$24)</f>
        <v>0</v>
      </c>
      <c r="G261">
        <f t="shared" si="4"/>
        <v>0</v>
      </c>
    </row>
    <row r="262" spans="6:7" ht="15.75" customHeight="1">
      <c r="F262">
        <f>SUMIF(InvoicesInput!A$15:A$24, A262, InvoicesInput!B$15:B$24)</f>
        <v>0</v>
      </c>
      <c r="G262">
        <f t="shared" si="4"/>
        <v>0</v>
      </c>
    </row>
    <row r="263" spans="6:7" ht="15.75" customHeight="1">
      <c r="F263">
        <f>SUMIF(InvoicesInput!A$15:A$24, A263, InvoicesInput!B$15:B$24)</f>
        <v>0</v>
      </c>
      <c r="G263">
        <f t="shared" si="4"/>
        <v>0</v>
      </c>
    </row>
    <row r="264" spans="6:7" ht="15.75" customHeight="1">
      <c r="F264">
        <f>SUMIF(InvoicesInput!A$15:A$24, A264, InvoicesInput!B$15:B$24)</f>
        <v>0</v>
      </c>
      <c r="G264">
        <f t="shared" si="4"/>
        <v>0</v>
      </c>
    </row>
    <row r="265" spans="6:7" ht="15.75" customHeight="1">
      <c r="F265">
        <f>SUMIF(InvoicesInput!A$15:A$24, A265, InvoicesInput!B$15:B$24)</f>
        <v>0</v>
      </c>
      <c r="G265">
        <f t="shared" si="4"/>
        <v>0</v>
      </c>
    </row>
    <row r="266" spans="6:7" ht="15.75" customHeight="1">
      <c r="F266">
        <f>SUMIF(InvoicesInput!A$15:A$24, A266, InvoicesInput!B$15:B$24)</f>
        <v>0</v>
      </c>
      <c r="G266">
        <f t="shared" si="4"/>
        <v>0</v>
      </c>
    </row>
    <row r="267" spans="6:7" ht="15.75" customHeight="1">
      <c r="F267">
        <f>SUMIF(InvoicesInput!A$15:A$24, A267, InvoicesInput!B$15:B$24)</f>
        <v>0</v>
      </c>
      <c r="G267">
        <f t="shared" si="4"/>
        <v>0</v>
      </c>
    </row>
    <row r="268" spans="6:7" ht="15.75" customHeight="1">
      <c r="F268">
        <f>SUMIF(InvoicesInput!A$15:A$24, A268, InvoicesInput!B$15:B$24)</f>
        <v>0</v>
      </c>
      <c r="G268">
        <f t="shared" si="4"/>
        <v>0</v>
      </c>
    </row>
    <row r="269" spans="6:7" ht="15.75" customHeight="1">
      <c r="F269">
        <f>SUMIF(InvoicesInput!A$15:A$24, A269, InvoicesInput!B$15:B$24)</f>
        <v>0</v>
      </c>
      <c r="G269">
        <f t="shared" si="4"/>
        <v>0</v>
      </c>
    </row>
    <row r="270" spans="6:7" ht="15.75" customHeight="1">
      <c r="F270">
        <f>SUMIF(InvoicesInput!A$15:A$24, A270, InvoicesInput!B$15:B$24)</f>
        <v>0</v>
      </c>
      <c r="G270">
        <f t="shared" si="4"/>
        <v>0</v>
      </c>
    </row>
    <row r="271" spans="6:7" ht="15.75" customHeight="1">
      <c r="F271">
        <f>SUMIF(InvoicesInput!A$15:A$24, A271, InvoicesInput!B$15:B$24)</f>
        <v>0</v>
      </c>
      <c r="G271">
        <f t="shared" si="4"/>
        <v>0</v>
      </c>
    </row>
    <row r="272" spans="6:7" ht="15.75" customHeight="1">
      <c r="F272">
        <f>SUMIF(InvoicesInput!A$15:A$24, A272, InvoicesInput!B$15:B$24)</f>
        <v>0</v>
      </c>
      <c r="G272">
        <f t="shared" si="4"/>
        <v>0</v>
      </c>
    </row>
    <row r="273" spans="6:7" ht="15.75" customHeight="1">
      <c r="F273">
        <f>SUMIF(InvoicesInput!A$15:A$24, A273, InvoicesInput!B$15:B$24)</f>
        <v>0</v>
      </c>
      <c r="G273">
        <f t="shared" si="4"/>
        <v>0</v>
      </c>
    </row>
    <row r="274" spans="6:7" ht="15.75" customHeight="1">
      <c r="F274">
        <f>SUMIF(InvoicesInput!A$15:A$24, A274, InvoicesInput!B$15:B$24)</f>
        <v>0</v>
      </c>
      <c r="G274">
        <f t="shared" si="4"/>
        <v>0</v>
      </c>
    </row>
    <row r="275" spans="6:7" ht="15.75" customHeight="1">
      <c r="F275">
        <f>SUMIF(InvoicesInput!A$15:A$24, A275, InvoicesInput!B$15:B$24)</f>
        <v>0</v>
      </c>
      <c r="G275">
        <f t="shared" si="4"/>
        <v>0</v>
      </c>
    </row>
    <row r="276" spans="6:7" ht="15.75" customHeight="1">
      <c r="F276">
        <f>SUMIF(InvoicesInput!A$15:A$24, A276, InvoicesInput!B$15:B$24)</f>
        <v>0</v>
      </c>
      <c r="G276">
        <f t="shared" si="4"/>
        <v>0</v>
      </c>
    </row>
    <row r="277" spans="6:7" ht="15.75" customHeight="1">
      <c r="F277">
        <f>SUMIF(InvoicesInput!A$15:A$24, A277, InvoicesInput!B$15:B$24)</f>
        <v>0</v>
      </c>
      <c r="G277">
        <f t="shared" si="4"/>
        <v>0</v>
      </c>
    </row>
    <row r="278" spans="6:7" ht="15.75" customHeight="1">
      <c r="F278">
        <f>SUMIF(InvoicesInput!A$15:A$24, A278, InvoicesInput!B$15:B$24)</f>
        <v>0</v>
      </c>
      <c r="G278">
        <f t="shared" si="4"/>
        <v>0</v>
      </c>
    </row>
    <row r="279" spans="6:7" ht="15.75" customHeight="1">
      <c r="F279">
        <f>SUMIF(InvoicesInput!A$15:A$24, A279, InvoicesInput!B$15:B$24)</f>
        <v>0</v>
      </c>
      <c r="G279">
        <f t="shared" si="4"/>
        <v>0</v>
      </c>
    </row>
    <row r="280" spans="6:7" ht="15.75" customHeight="1">
      <c r="F280">
        <f>SUMIF(InvoicesInput!A$15:A$24, A280, InvoicesInput!B$15:B$24)</f>
        <v>0</v>
      </c>
      <c r="G280">
        <f t="shared" si="4"/>
        <v>0</v>
      </c>
    </row>
    <row r="281" spans="6:7" ht="15.75" customHeight="1">
      <c r="F281">
        <f>SUMIF(InvoicesInput!A$15:A$24, A281, InvoicesInput!B$15:B$24)</f>
        <v>0</v>
      </c>
      <c r="G281">
        <f t="shared" si="4"/>
        <v>0</v>
      </c>
    </row>
    <row r="282" spans="6:7" ht="15.75" customHeight="1">
      <c r="F282">
        <f>SUMIF(InvoicesInput!A$15:A$24, A282, InvoicesInput!B$15:B$24)</f>
        <v>0</v>
      </c>
      <c r="G282">
        <f t="shared" si="4"/>
        <v>0</v>
      </c>
    </row>
    <row r="283" spans="6:7" ht="15.75" customHeight="1">
      <c r="F283">
        <f>SUMIF(InvoicesInput!A$15:A$24, A283, InvoicesInput!B$15:B$24)</f>
        <v>0</v>
      </c>
      <c r="G283">
        <f t="shared" si="4"/>
        <v>0</v>
      </c>
    </row>
    <row r="284" spans="6:7" ht="15.75" customHeight="1">
      <c r="F284">
        <f>SUMIF(InvoicesInput!A$15:A$24, A284, InvoicesInput!B$15:B$24)</f>
        <v>0</v>
      </c>
      <c r="G284">
        <f t="shared" si="4"/>
        <v>0</v>
      </c>
    </row>
    <row r="285" spans="6:7" ht="15.75" customHeight="1">
      <c r="F285">
        <f>SUMIF(InvoicesInput!A$15:A$24, A285, InvoicesInput!B$15:B$24)</f>
        <v>0</v>
      </c>
      <c r="G285">
        <f t="shared" si="4"/>
        <v>0</v>
      </c>
    </row>
    <row r="286" spans="6:7" ht="15.75" customHeight="1">
      <c r="F286">
        <f>SUMIF(InvoicesInput!A$15:A$24, A286, InvoicesInput!B$15:B$24)</f>
        <v>0</v>
      </c>
      <c r="G286">
        <f t="shared" si="4"/>
        <v>0</v>
      </c>
    </row>
    <row r="287" spans="6:7" ht="15.75" customHeight="1">
      <c r="F287">
        <f>SUMIF(InvoicesInput!A$15:A$24, A287, InvoicesInput!B$15:B$24)</f>
        <v>0</v>
      </c>
      <c r="G287">
        <f t="shared" si="4"/>
        <v>0</v>
      </c>
    </row>
    <row r="288" spans="6:7" ht="15.75" customHeight="1">
      <c r="F288">
        <f>SUMIF(InvoicesInput!A$15:A$24, A288, InvoicesInput!B$15:B$24)</f>
        <v>0</v>
      </c>
      <c r="G288">
        <f t="shared" si="4"/>
        <v>0</v>
      </c>
    </row>
    <row r="289" spans="6:7" ht="15.75" customHeight="1">
      <c r="F289">
        <f>SUMIF(InvoicesInput!A$15:A$24, A289, InvoicesInput!B$15:B$24)</f>
        <v>0</v>
      </c>
      <c r="G289">
        <f t="shared" si="4"/>
        <v>0</v>
      </c>
    </row>
    <row r="290" spans="6:7" ht="15.75" customHeight="1">
      <c r="F290">
        <f>SUMIF(InvoicesInput!A$15:A$24, A290, InvoicesInput!B$15:B$24)</f>
        <v>0</v>
      </c>
      <c r="G290">
        <f t="shared" si="4"/>
        <v>0</v>
      </c>
    </row>
    <row r="291" spans="6:7" ht="15.75" customHeight="1">
      <c r="F291">
        <f>SUMIF(InvoicesInput!A$15:A$24, A291, InvoicesInput!B$15:B$24)</f>
        <v>0</v>
      </c>
      <c r="G291">
        <f t="shared" si="4"/>
        <v>0</v>
      </c>
    </row>
    <row r="292" spans="6:7" ht="15.75" customHeight="1">
      <c r="F292">
        <f>SUMIF(InvoicesInput!A$15:A$24, A292, InvoicesInput!B$15:B$24)</f>
        <v>0</v>
      </c>
      <c r="G292">
        <f t="shared" si="4"/>
        <v>0</v>
      </c>
    </row>
    <row r="293" spans="6:7" ht="15.75" customHeight="1">
      <c r="F293">
        <f>SUMIF(InvoicesInput!A$15:A$24, A293, InvoicesInput!B$15:B$24)</f>
        <v>0</v>
      </c>
      <c r="G293">
        <f t="shared" si="4"/>
        <v>0</v>
      </c>
    </row>
    <row r="294" spans="6:7" ht="15.75" customHeight="1">
      <c r="F294">
        <f>SUMIF(InvoicesInput!A$15:A$24, A294, InvoicesInput!B$15:B$24)</f>
        <v>0</v>
      </c>
      <c r="G294">
        <f t="shared" si="4"/>
        <v>0</v>
      </c>
    </row>
    <row r="295" spans="6:7" ht="15.75" customHeight="1">
      <c r="F295">
        <f>SUMIF(InvoicesInput!A$15:A$24, A295, InvoicesInput!B$15:B$24)</f>
        <v>0</v>
      </c>
      <c r="G295">
        <f t="shared" si="4"/>
        <v>0</v>
      </c>
    </row>
    <row r="296" spans="6:7" ht="15.75" customHeight="1">
      <c r="F296">
        <f>SUMIF(InvoicesInput!A$15:A$24, A296, InvoicesInput!B$15:B$24)</f>
        <v>0</v>
      </c>
      <c r="G296">
        <f t="shared" si="4"/>
        <v>0</v>
      </c>
    </row>
    <row r="297" spans="6:7" ht="15.75" customHeight="1">
      <c r="F297">
        <f>SUMIF(InvoicesInput!A$15:A$24, A297, InvoicesInput!B$15:B$24)</f>
        <v>0</v>
      </c>
      <c r="G297">
        <f t="shared" si="4"/>
        <v>0</v>
      </c>
    </row>
    <row r="298" spans="6:7" ht="15.75" customHeight="1">
      <c r="F298">
        <f>SUMIF(InvoicesInput!A$15:A$24, A298, InvoicesInput!B$15:B$24)</f>
        <v>0</v>
      </c>
      <c r="G298">
        <f t="shared" si="4"/>
        <v>0</v>
      </c>
    </row>
    <row r="299" spans="6:7" ht="15.75" customHeight="1">
      <c r="F299">
        <f>SUMIF(InvoicesInput!A$15:A$24, A299, InvoicesInput!B$15:B$24)</f>
        <v>0</v>
      </c>
      <c r="G299">
        <f t="shared" si="4"/>
        <v>0</v>
      </c>
    </row>
    <row r="300" spans="6:7" ht="15.75" customHeight="1">
      <c r="F300">
        <f>SUMIF(InvoicesInput!A$15:A$24, A300, InvoicesInput!B$15:B$24)</f>
        <v>0</v>
      </c>
      <c r="G300">
        <f t="shared" si="4"/>
        <v>0</v>
      </c>
    </row>
    <row r="301" spans="6:7" ht="15.75" customHeight="1">
      <c r="F301">
        <f>SUMIF(InvoicesInput!A$15:A$24, A301, InvoicesInput!B$15:B$24)</f>
        <v>0</v>
      </c>
      <c r="G301">
        <f t="shared" si="4"/>
        <v>0</v>
      </c>
    </row>
    <row r="302" spans="6:7" ht="15.75" customHeight="1">
      <c r="F302">
        <f>SUMIF(InvoicesInput!A$15:A$24, A302, InvoicesInput!B$15:B$24)</f>
        <v>0</v>
      </c>
      <c r="G302">
        <f t="shared" si="4"/>
        <v>0</v>
      </c>
    </row>
    <row r="303" spans="6:7" ht="15.75" customHeight="1">
      <c r="F303">
        <f>SUMIF(InvoicesInput!A$15:A$24, A303, InvoicesInput!B$15:B$24)</f>
        <v>0</v>
      </c>
      <c r="G303">
        <f t="shared" si="4"/>
        <v>0</v>
      </c>
    </row>
    <row r="304" spans="6:7" ht="15.75" customHeight="1">
      <c r="F304">
        <f>SUMIF(InvoicesInput!A$15:A$24, A304, InvoicesInput!B$15:B$24)</f>
        <v>0</v>
      </c>
      <c r="G304">
        <f t="shared" si="4"/>
        <v>0</v>
      </c>
    </row>
    <row r="305" spans="6:7" ht="15.75" customHeight="1">
      <c r="F305">
        <f>SUMIF(InvoicesInput!A$15:A$24, A305, InvoicesInput!B$15:B$24)</f>
        <v>0</v>
      </c>
      <c r="G305">
        <f t="shared" si="4"/>
        <v>0</v>
      </c>
    </row>
    <row r="306" spans="6:7" ht="15.75" customHeight="1">
      <c r="F306">
        <f>SUMIF(InvoicesInput!A$15:A$24, A306, InvoicesInput!B$15:B$24)</f>
        <v>0</v>
      </c>
      <c r="G306">
        <f t="shared" si="4"/>
        <v>0</v>
      </c>
    </row>
    <row r="307" spans="6:7" ht="15.75" customHeight="1">
      <c r="F307">
        <f>SUMIF(InvoicesInput!A$15:A$24, A307, InvoicesInput!B$15:B$24)</f>
        <v>0</v>
      </c>
      <c r="G307">
        <f t="shared" si="4"/>
        <v>0</v>
      </c>
    </row>
    <row r="308" spans="6:7" ht="15.75" customHeight="1">
      <c r="F308">
        <f>SUMIF(InvoicesInput!A$15:A$24, A308, InvoicesInput!B$15:B$24)</f>
        <v>0</v>
      </c>
      <c r="G308">
        <f t="shared" si="4"/>
        <v>0</v>
      </c>
    </row>
    <row r="309" spans="6:7" ht="15.75" customHeight="1">
      <c r="F309">
        <f>SUMIF(InvoicesInput!A$15:A$24, A309, InvoicesInput!B$15:B$24)</f>
        <v>0</v>
      </c>
      <c r="G309">
        <f t="shared" si="4"/>
        <v>0</v>
      </c>
    </row>
    <row r="310" spans="6:7" ht="15.75" customHeight="1">
      <c r="F310">
        <f>SUMIF(InvoicesInput!A$15:A$24, A310, InvoicesInput!B$15:B$24)</f>
        <v>0</v>
      </c>
      <c r="G310">
        <f t="shared" si="4"/>
        <v>0</v>
      </c>
    </row>
    <row r="311" spans="6:7" ht="15.75" customHeight="1">
      <c r="F311">
        <f>SUMIF(InvoicesInput!A$15:A$24, A311, InvoicesInput!B$15:B$24)</f>
        <v>0</v>
      </c>
      <c r="G311">
        <f t="shared" si="4"/>
        <v>0</v>
      </c>
    </row>
    <row r="312" spans="6:7" ht="15.75" customHeight="1">
      <c r="F312">
        <f>SUMIF(InvoicesInput!A$15:A$24, A312, InvoicesInput!B$15:B$24)</f>
        <v>0</v>
      </c>
      <c r="G312">
        <f t="shared" si="4"/>
        <v>0</v>
      </c>
    </row>
    <row r="313" spans="6:7" ht="15.75" customHeight="1">
      <c r="F313">
        <f>SUMIF(InvoicesInput!A$15:A$24, A313, InvoicesInput!B$15:B$24)</f>
        <v>0</v>
      </c>
      <c r="G313">
        <f t="shared" si="4"/>
        <v>0</v>
      </c>
    </row>
    <row r="314" spans="6:7" ht="15.75" customHeight="1">
      <c r="F314">
        <f>SUMIF(InvoicesInput!A$15:A$24, A314, InvoicesInput!B$15:B$24)</f>
        <v>0</v>
      </c>
      <c r="G314">
        <f t="shared" si="4"/>
        <v>0</v>
      </c>
    </row>
    <row r="315" spans="6:7" ht="15.75" customHeight="1">
      <c r="F315">
        <f>SUMIF(InvoicesInput!A$15:A$24, A315, InvoicesInput!B$15:B$24)</f>
        <v>0</v>
      </c>
      <c r="G315">
        <f t="shared" si="4"/>
        <v>0</v>
      </c>
    </row>
    <row r="316" spans="6:7" ht="15.75" customHeight="1">
      <c r="F316">
        <f>SUMIF(InvoicesInput!A$15:A$24, A316, InvoicesInput!B$15:B$24)</f>
        <v>0</v>
      </c>
      <c r="G316">
        <f t="shared" si="4"/>
        <v>0</v>
      </c>
    </row>
    <row r="317" spans="6:7" ht="15.75" customHeight="1">
      <c r="F317">
        <f>SUMIF(InvoicesInput!A$15:A$24, A317, InvoicesInput!B$15:B$24)</f>
        <v>0</v>
      </c>
      <c r="G317">
        <f t="shared" si="4"/>
        <v>0</v>
      </c>
    </row>
    <row r="318" spans="6:7" ht="15.75" customHeight="1">
      <c r="F318">
        <f>SUMIF(InvoicesInput!A$15:A$24, A318, InvoicesInput!B$15:B$24)</f>
        <v>0</v>
      </c>
      <c r="G318">
        <f t="shared" si="4"/>
        <v>0</v>
      </c>
    </row>
    <row r="319" spans="6:7" ht="15.75" customHeight="1">
      <c r="F319">
        <f>SUMIF(InvoicesInput!A$15:A$24, A319, InvoicesInput!B$15:B$24)</f>
        <v>0</v>
      </c>
      <c r="G319">
        <f t="shared" si="4"/>
        <v>0</v>
      </c>
    </row>
    <row r="320" spans="6:7" ht="15.75" customHeight="1">
      <c r="F320">
        <f>SUMIF(InvoicesInput!A$15:A$24, A320, InvoicesInput!B$15:B$24)</f>
        <v>0</v>
      </c>
      <c r="G320">
        <f t="shared" si="4"/>
        <v>0</v>
      </c>
    </row>
    <row r="321" spans="6:7" ht="15.75" customHeight="1">
      <c r="F321">
        <f>SUMIF(InvoicesInput!A$15:A$24, A321, InvoicesInput!B$15:B$24)</f>
        <v>0</v>
      </c>
      <c r="G321">
        <f t="shared" si="4"/>
        <v>0</v>
      </c>
    </row>
    <row r="322" spans="6:7" ht="15.75" customHeight="1">
      <c r="F322">
        <f>SUMIF(InvoicesInput!A$15:A$24, A322, InvoicesInput!B$15:B$24)</f>
        <v>0</v>
      </c>
      <c r="G322">
        <f t="shared" si="4"/>
        <v>0</v>
      </c>
    </row>
    <row r="323" spans="6:7" ht="15.75" customHeight="1">
      <c r="F323">
        <f>SUMIF(InvoicesInput!A$15:A$24, A323, InvoicesInput!B$15:B$24)</f>
        <v>0</v>
      </c>
      <c r="G323">
        <f t="shared" ref="G323:G386" si="5">B323 - F323</f>
        <v>0</v>
      </c>
    </row>
    <row r="324" spans="6:7" ht="15.75" customHeight="1">
      <c r="F324">
        <f>SUMIF(InvoicesInput!A$15:A$24, A324, InvoicesInput!B$15:B$24)</f>
        <v>0</v>
      </c>
      <c r="G324">
        <f t="shared" si="5"/>
        <v>0</v>
      </c>
    </row>
    <row r="325" spans="6:7" ht="15.75" customHeight="1">
      <c r="F325">
        <f>SUMIF(InvoicesInput!A$15:A$24, A325, InvoicesInput!B$15:B$24)</f>
        <v>0</v>
      </c>
      <c r="G325">
        <f t="shared" si="5"/>
        <v>0</v>
      </c>
    </row>
    <row r="326" spans="6:7" ht="15.75" customHeight="1">
      <c r="F326">
        <f>SUMIF(InvoicesInput!A$15:A$24, A326, InvoicesInput!B$15:B$24)</f>
        <v>0</v>
      </c>
      <c r="G326">
        <f t="shared" si="5"/>
        <v>0</v>
      </c>
    </row>
    <row r="327" spans="6:7" ht="15.75" customHeight="1">
      <c r="F327">
        <f>SUMIF(InvoicesInput!A$15:A$24, A327, InvoicesInput!B$15:B$24)</f>
        <v>0</v>
      </c>
      <c r="G327">
        <f t="shared" si="5"/>
        <v>0</v>
      </c>
    </row>
    <row r="328" spans="6:7" ht="15.75" customHeight="1">
      <c r="F328">
        <f>SUMIF(InvoicesInput!A$15:A$24, A328, InvoicesInput!B$15:B$24)</f>
        <v>0</v>
      </c>
      <c r="G328">
        <f t="shared" si="5"/>
        <v>0</v>
      </c>
    </row>
    <row r="329" spans="6:7" ht="15.75" customHeight="1">
      <c r="F329">
        <f>SUMIF(InvoicesInput!A$15:A$24, A329, InvoicesInput!B$15:B$24)</f>
        <v>0</v>
      </c>
      <c r="G329">
        <f t="shared" si="5"/>
        <v>0</v>
      </c>
    </row>
    <row r="330" spans="6:7" ht="15.75" customHeight="1">
      <c r="F330">
        <f>SUMIF(InvoicesInput!A$15:A$24, A330, InvoicesInput!B$15:B$24)</f>
        <v>0</v>
      </c>
      <c r="G330">
        <f t="shared" si="5"/>
        <v>0</v>
      </c>
    </row>
    <row r="331" spans="6:7" ht="15.75" customHeight="1">
      <c r="F331">
        <f>SUMIF(InvoicesInput!A$15:A$24, A331, InvoicesInput!B$15:B$24)</f>
        <v>0</v>
      </c>
      <c r="G331">
        <f t="shared" si="5"/>
        <v>0</v>
      </c>
    </row>
    <row r="332" spans="6:7" ht="15.75" customHeight="1">
      <c r="F332">
        <f>SUMIF(InvoicesInput!A$15:A$24, A332, InvoicesInput!B$15:B$24)</f>
        <v>0</v>
      </c>
      <c r="G332">
        <f t="shared" si="5"/>
        <v>0</v>
      </c>
    </row>
    <row r="333" spans="6:7" ht="15.75" customHeight="1">
      <c r="F333">
        <f>SUMIF(InvoicesInput!A$15:A$24, A333, InvoicesInput!B$15:B$24)</f>
        <v>0</v>
      </c>
      <c r="G333">
        <f t="shared" si="5"/>
        <v>0</v>
      </c>
    </row>
    <row r="334" spans="6:7" ht="15.75" customHeight="1">
      <c r="F334">
        <f>SUMIF(InvoicesInput!A$15:A$24, A334, InvoicesInput!B$15:B$24)</f>
        <v>0</v>
      </c>
      <c r="G334">
        <f t="shared" si="5"/>
        <v>0</v>
      </c>
    </row>
    <row r="335" spans="6:7" ht="15.75" customHeight="1">
      <c r="F335">
        <f>SUMIF(InvoicesInput!A$15:A$24, A335, InvoicesInput!B$15:B$24)</f>
        <v>0</v>
      </c>
      <c r="G335">
        <f t="shared" si="5"/>
        <v>0</v>
      </c>
    </row>
    <row r="336" spans="6:7" ht="15.75" customHeight="1">
      <c r="F336">
        <f>SUMIF(InvoicesInput!A$15:A$24, A336, InvoicesInput!B$15:B$24)</f>
        <v>0</v>
      </c>
      <c r="G336">
        <f t="shared" si="5"/>
        <v>0</v>
      </c>
    </row>
    <row r="337" spans="6:7" ht="15.75" customHeight="1">
      <c r="F337">
        <f>SUMIF(InvoicesInput!A$15:A$24, A337, InvoicesInput!B$15:B$24)</f>
        <v>0</v>
      </c>
      <c r="G337">
        <f t="shared" si="5"/>
        <v>0</v>
      </c>
    </row>
    <row r="338" spans="6:7" ht="15.75" customHeight="1">
      <c r="F338">
        <f>SUMIF(InvoicesInput!A$15:A$24, A338, InvoicesInput!B$15:B$24)</f>
        <v>0</v>
      </c>
      <c r="G338">
        <f t="shared" si="5"/>
        <v>0</v>
      </c>
    </row>
    <row r="339" spans="6:7" ht="15.75" customHeight="1">
      <c r="F339">
        <f>SUMIF(InvoicesInput!A$15:A$24, A339, InvoicesInput!B$15:B$24)</f>
        <v>0</v>
      </c>
      <c r="G339">
        <f t="shared" si="5"/>
        <v>0</v>
      </c>
    </row>
    <row r="340" spans="6:7" ht="15.75" customHeight="1">
      <c r="F340">
        <f>SUMIF(InvoicesInput!A$15:A$24, A340, InvoicesInput!B$15:B$24)</f>
        <v>0</v>
      </c>
      <c r="G340">
        <f t="shared" si="5"/>
        <v>0</v>
      </c>
    </row>
    <row r="341" spans="6:7" ht="15.75" customHeight="1">
      <c r="F341">
        <f>SUMIF(InvoicesInput!A$15:A$24, A341, InvoicesInput!B$15:B$24)</f>
        <v>0</v>
      </c>
      <c r="G341">
        <f t="shared" si="5"/>
        <v>0</v>
      </c>
    </row>
    <row r="342" spans="6:7" ht="15.75" customHeight="1">
      <c r="F342">
        <f>SUMIF(InvoicesInput!A$15:A$24, A342, InvoicesInput!B$15:B$24)</f>
        <v>0</v>
      </c>
      <c r="G342">
        <f t="shared" si="5"/>
        <v>0</v>
      </c>
    </row>
    <row r="343" spans="6:7" ht="15.75" customHeight="1">
      <c r="F343">
        <f>SUMIF(InvoicesInput!A$15:A$24, A343, InvoicesInput!B$15:B$24)</f>
        <v>0</v>
      </c>
      <c r="G343">
        <f t="shared" si="5"/>
        <v>0</v>
      </c>
    </row>
    <row r="344" spans="6:7" ht="15.75" customHeight="1">
      <c r="F344">
        <f>SUMIF(InvoicesInput!A$15:A$24, A344, InvoicesInput!B$15:B$24)</f>
        <v>0</v>
      </c>
      <c r="G344">
        <f t="shared" si="5"/>
        <v>0</v>
      </c>
    </row>
    <row r="345" spans="6:7" ht="15.75" customHeight="1">
      <c r="F345">
        <f>SUMIF(InvoicesInput!A$15:A$24, A345, InvoicesInput!B$15:B$24)</f>
        <v>0</v>
      </c>
      <c r="G345">
        <f t="shared" si="5"/>
        <v>0</v>
      </c>
    </row>
    <row r="346" spans="6:7" ht="15.75" customHeight="1">
      <c r="F346">
        <f>SUMIF(InvoicesInput!A$15:A$24, A346, InvoicesInput!B$15:B$24)</f>
        <v>0</v>
      </c>
      <c r="G346">
        <f t="shared" si="5"/>
        <v>0</v>
      </c>
    </row>
    <row r="347" spans="6:7" ht="15.75" customHeight="1">
      <c r="F347">
        <f>SUMIF(InvoicesInput!A$15:A$24, A347, InvoicesInput!B$15:B$24)</f>
        <v>0</v>
      </c>
      <c r="G347">
        <f t="shared" si="5"/>
        <v>0</v>
      </c>
    </row>
    <row r="348" spans="6:7" ht="15.75" customHeight="1">
      <c r="F348">
        <f>SUMIF(InvoicesInput!A$15:A$24, A348, InvoicesInput!B$15:B$24)</f>
        <v>0</v>
      </c>
      <c r="G348">
        <f t="shared" si="5"/>
        <v>0</v>
      </c>
    </row>
    <row r="349" spans="6:7" ht="15.75" customHeight="1">
      <c r="F349">
        <f>SUMIF(InvoicesInput!A$15:A$24, A349, InvoicesInput!B$15:B$24)</f>
        <v>0</v>
      </c>
      <c r="G349">
        <f t="shared" si="5"/>
        <v>0</v>
      </c>
    </row>
    <row r="350" spans="6:7" ht="15.75" customHeight="1">
      <c r="F350">
        <f>SUMIF(InvoicesInput!A$15:A$24, A350, InvoicesInput!B$15:B$24)</f>
        <v>0</v>
      </c>
      <c r="G350">
        <f t="shared" si="5"/>
        <v>0</v>
      </c>
    </row>
    <row r="351" spans="6:7" ht="15.75" customHeight="1">
      <c r="F351">
        <f>SUMIF(InvoicesInput!A$15:A$24, A351, InvoicesInput!B$15:B$24)</f>
        <v>0</v>
      </c>
      <c r="G351">
        <f t="shared" si="5"/>
        <v>0</v>
      </c>
    </row>
    <row r="352" spans="6:7" ht="15.75" customHeight="1">
      <c r="F352">
        <f>SUMIF(InvoicesInput!A$15:A$24, A352, InvoicesInput!B$15:B$24)</f>
        <v>0</v>
      </c>
      <c r="G352">
        <f t="shared" si="5"/>
        <v>0</v>
      </c>
    </row>
    <row r="353" spans="6:7" ht="15.75" customHeight="1">
      <c r="F353">
        <f>SUMIF(InvoicesInput!A$15:A$24, A353, InvoicesInput!B$15:B$24)</f>
        <v>0</v>
      </c>
      <c r="G353">
        <f t="shared" si="5"/>
        <v>0</v>
      </c>
    </row>
    <row r="354" spans="6:7" ht="15.75" customHeight="1">
      <c r="F354">
        <f>SUMIF(InvoicesInput!A$15:A$24, A354, InvoicesInput!B$15:B$24)</f>
        <v>0</v>
      </c>
      <c r="G354">
        <f t="shared" si="5"/>
        <v>0</v>
      </c>
    </row>
    <row r="355" spans="6:7" ht="15.75" customHeight="1">
      <c r="F355">
        <f>SUMIF(InvoicesInput!A$15:A$24, A355, InvoicesInput!B$15:B$24)</f>
        <v>0</v>
      </c>
      <c r="G355">
        <f t="shared" si="5"/>
        <v>0</v>
      </c>
    </row>
    <row r="356" spans="6:7" ht="15.75" customHeight="1">
      <c r="F356">
        <f>SUMIF(InvoicesInput!A$15:A$24, A356, InvoicesInput!B$15:B$24)</f>
        <v>0</v>
      </c>
      <c r="G356">
        <f t="shared" si="5"/>
        <v>0</v>
      </c>
    </row>
    <row r="357" spans="6:7" ht="15.75" customHeight="1">
      <c r="F357">
        <f>SUMIF(InvoicesInput!A$15:A$24, A357, InvoicesInput!B$15:B$24)</f>
        <v>0</v>
      </c>
      <c r="G357">
        <f t="shared" si="5"/>
        <v>0</v>
      </c>
    </row>
    <row r="358" spans="6:7" ht="15.75" customHeight="1">
      <c r="F358">
        <f>SUMIF(InvoicesInput!A$15:A$24, A358, InvoicesInput!B$15:B$24)</f>
        <v>0</v>
      </c>
      <c r="G358">
        <f t="shared" si="5"/>
        <v>0</v>
      </c>
    </row>
    <row r="359" spans="6:7" ht="15.75" customHeight="1">
      <c r="F359">
        <f>SUMIF(InvoicesInput!A$15:A$24, A359, InvoicesInput!B$15:B$24)</f>
        <v>0</v>
      </c>
      <c r="G359">
        <f t="shared" si="5"/>
        <v>0</v>
      </c>
    </row>
    <row r="360" spans="6:7" ht="15.75" customHeight="1">
      <c r="F360">
        <f>SUMIF(InvoicesInput!A$15:A$24, A360, InvoicesInput!B$15:B$24)</f>
        <v>0</v>
      </c>
      <c r="G360">
        <f t="shared" si="5"/>
        <v>0</v>
      </c>
    </row>
    <row r="361" spans="6:7" ht="15.75" customHeight="1">
      <c r="F361">
        <f>SUMIF(InvoicesInput!A$15:A$24, A361, InvoicesInput!B$15:B$24)</f>
        <v>0</v>
      </c>
      <c r="G361">
        <f t="shared" si="5"/>
        <v>0</v>
      </c>
    </row>
    <row r="362" spans="6:7" ht="15.75" customHeight="1">
      <c r="F362">
        <f>SUMIF(InvoicesInput!A$15:A$24, A362, InvoicesInput!B$15:B$24)</f>
        <v>0</v>
      </c>
      <c r="G362">
        <f t="shared" si="5"/>
        <v>0</v>
      </c>
    </row>
    <row r="363" spans="6:7" ht="15.75" customHeight="1">
      <c r="F363">
        <f>SUMIF(InvoicesInput!A$15:A$24, A363, InvoicesInput!B$15:B$24)</f>
        <v>0</v>
      </c>
      <c r="G363">
        <f t="shared" si="5"/>
        <v>0</v>
      </c>
    </row>
    <row r="364" spans="6:7" ht="15.75" customHeight="1">
      <c r="F364">
        <f>SUMIF(InvoicesInput!A$15:A$24, A364, InvoicesInput!B$15:B$24)</f>
        <v>0</v>
      </c>
      <c r="G364">
        <f t="shared" si="5"/>
        <v>0</v>
      </c>
    </row>
    <row r="365" spans="6:7" ht="15.75" customHeight="1">
      <c r="F365">
        <f>SUMIF(InvoicesInput!A$15:A$24, A365, InvoicesInput!B$15:B$24)</f>
        <v>0</v>
      </c>
      <c r="G365">
        <f t="shared" si="5"/>
        <v>0</v>
      </c>
    </row>
    <row r="366" spans="6:7" ht="15.75" customHeight="1">
      <c r="F366">
        <f>SUMIF(InvoicesInput!A$15:A$24, A366, InvoicesInput!B$15:B$24)</f>
        <v>0</v>
      </c>
      <c r="G366">
        <f t="shared" si="5"/>
        <v>0</v>
      </c>
    </row>
    <row r="367" spans="6:7" ht="15.75" customHeight="1">
      <c r="F367">
        <f>SUMIF(InvoicesInput!A$15:A$24, A367, InvoicesInput!B$15:B$24)</f>
        <v>0</v>
      </c>
      <c r="G367">
        <f t="shared" si="5"/>
        <v>0</v>
      </c>
    </row>
    <row r="368" spans="6:7" ht="15.75" customHeight="1">
      <c r="F368">
        <f>SUMIF(InvoicesInput!A$15:A$24, A368, InvoicesInput!B$15:B$24)</f>
        <v>0</v>
      </c>
      <c r="G368">
        <f t="shared" si="5"/>
        <v>0</v>
      </c>
    </row>
    <row r="369" spans="6:7" ht="15.75" customHeight="1">
      <c r="F369">
        <f>SUMIF(InvoicesInput!A$15:A$24, A369, InvoicesInput!B$15:B$24)</f>
        <v>0</v>
      </c>
      <c r="G369">
        <f t="shared" si="5"/>
        <v>0</v>
      </c>
    </row>
    <row r="370" spans="6:7" ht="15.75" customHeight="1">
      <c r="F370">
        <f>SUMIF(InvoicesInput!A$15:A$24, A370, InvoicesInput!B$15:B$24)</f>
        <v>0</v>
      </c>
      <c r="G370">
        <f t="shared" si="5"/>
        <v>0</v>
      </c>
    </row>
    <row r="371" spans="6:7" ht="15.75" customHeight="1">
      <c r="F371">
        <f>SUMIF(InvoicesInput!A$15:A$24, A371, InvoicesInput!B$15:B$24)</f>
        <v>0</v>
      </c>
      <c r="G371">
        <f t="shared" si="5"/>
        <v>0</v>
      </c>
    </row>
    <row r="372" spans="6:7" ht="15.75" customHeight="1">
      <c r="F372">
        <f>SUMIF(InvoicesInput!A$15:A$24, A372, InvoicesInput!B$15:B$24)</f>
        <v>0</v>
      </c>
      <c r="G372">
        <f t="shared" si="5"/>
        <v>0</v>
      </c>
    </row>
    <row r="373" spans="6:7" ht="15.75" customHeight="1">
      <c r="F373">
        <f>SUMIF(InvoicesInput!A$15:A$24, A373, InvoicesInput!B$15:B$24)</f>
        <v>0</v>
      </c>
      <c r="G373">
        <f t="shared" si="5"/>
        <v>0</v>
      </c>
    </row>
    <row r="374" spans="6:7" ht="15.75" customHeight="1">
      <c r="F374">
        <f>SUMIF(InvoicesInput!A$15:A$24, A374, InvoicesInput!B$15:B$24)</f>
        <v>0</v>
      </c>
      <c r="G374">
        <f t="shared" si="5"/>
        <v>0</v>
      </c>
    </row>
    <row r="375" spans="6:7" ht="15.75" customHeight="1">
      <c r="F375">
        <f>SUMIF(InvoicesInput!A$15:A$24, A375, InvoicesInput!B$15:B$24)</f>
        <v>0</v>
      </c>
      <c r="G375">
        <f t="shared" si="5"/>
        <v>0</v>
      </c>
    </row>
    <row r="376" spans="6:7" ht="15.75" customHeight="1">
      <c r="F376">
        <f>SUMIF(InvoicesInput!A$15:A$24, A376, InvoicesInput!B$15:B$24)</f>
        <v>0</v>
      </c>
      <c r="G376">
        <f t="shared" si="5"/>
        <v>0</v>
      </c>
    </row>
    <row r="377" spans="6:7" ht="15.75" customHeight="1">
      <c r="F377">
        <f>SUMIF(InvoicesInput!A$15:A$24, A377, InvoicesInput!B$15:B$24)</f>
        <v>0</v>
      </c>
      <c r="G377">
        <f t="shared" si="5"/>
        <v>0</v>
      </c>
    </row>
    <row r="378" spans="6:7" ht="15.75" customHeight="1">
      <c r="F378">
        <f>SUMIF(InvoicesInput!A$15:A$24, A378, InvoicesInput!B$15:B$24)</f>
        <v>0</v>
      </c>
      <c r="G378">
        <f t="shared" si="5"/>
        <v>0</v>
      </c>
    </row>
    <row r="379" spans="6:7" ht="15.75" customHeight="1">
      <c r="F379">
        <f>SUMIF(InvoicesInput!A$15:A$24, A379, InvoicesInput!B$15:B$24)</f>
        <v>0</v>
      </c>
      <c r="G379">
        <f t="shared" si="5"/>
        <v>0</v>
      </c>
    </row>
    <row r="380" spans="6:7" ht="15.75" customHeight="1">
      <c r="F380">
        <f>SUMIF(InvoicesInput!A$15:A$24, A380, InvoicesInput!B$15:B$24)</f>
        <v>0</v>
      </c>
      <c r="G380">
        <f t="shared" si="5"/>
        <v>0</v>
      </c>
    </row>
    <row r="381" spans="6:7" ht="15.75" customHeight="1">
      <c r="F381">
        <f>SUMIF(InvoicesInput!A$15:A$24, A381, InvoicesInput!B$15:B$24)</f>
        <v>0</v>
      </c>
      <c r="G381">
        <f t="shared" si="5"/>
        <v>0</v>
      </c>
    </row>
    <row r="382" spans="6:7" ht="15.75" customHeight="1">
      <c r="F382">
        <f>SUMIF(InvoicesInput!A$15:A$24, A382, InvoicesInput!B$15:B$24)</f>
        <v>0</v>
      </c>
      <c r="G382">
        <f t="shared" si="5"/>
        <v>0</v>
      </c>
    </row>
    <row r="383" spans="6:7" ht="15.75" customHeight="1">
      <c r="F383">
        <f>SUMIF(InvoicesInput!A$15:A$24, A383, InvoicesInput!B$15:B$24)</f>
        <v>0</v>
      </c>
      <c r="G383">
        <f t="shared" si="5"/>
        <v>0</v>
      </c>
    </row>
    <row r="384" spans="6:7" ht="15.75" customHeight="1">
      <c r="F384">
        <f>SUMIF(InvoicesInput!A$15:A$24, A384, InvoicesInput!B$15:B$24)</f>
        <v>0</v>
      </c>
      <c r="G384">
        <f t="shared" si="5"/>
        <v>0</v>
      </c>
    </row>
    <row r="385" spans="6:7" ht="15.75" customHeight="1">
      <c r="F385">
        <f>SUMIF(InvoicesInput!A$15:A$24, A385, InvoicesInput!B$15:B$24)</f>
        <v>0</v>
      </c>
      <c r="G385">
        <f t="shared" si="5"/>
        <v>0</v>
      </c>
    </row>
    <row r="386" spans="6:7" ht="15.75" customHeight="1">
      <c r="F386">
        <f>SUMIF(InvoicesInput!A$15:A$24, A386, InvoicesInput!B$15:B$24)</f>
        <v>0</v>
      </c>
      <c r="G386">
        <f t="shared" si="5"/>
        <v>0</v>
      </c>
    </row>
    <row r="387" spans="6:7" ht="15.75" customHeight="1">
      <c r="F387">
        <f>SUMIF(InvoicesInput!A$15:A$24, A387, InvoicesInput!B$15:B$24)</f>
        <v>0</v>
      </c>
      <c r="G387">
        <f t="shared" ref="G387:G450" si="6">B387 - F387</f>
        <v>0</v>
      </c>
    </row>
    <row r="388" spans="6:7" ht="15.75" customHeight="1">
      <c r="F388">
        <f>SUMIF(InvoicesInput!A$15:A$24, A388, InvoicesInput!B$15:B$24)</f>
        <v>0</v>
      </c>
      <c r="G388">
        <f t="shared" si="6"/>
        <v>0</v>
      </c>
    </row>
    <row r="389" spans="6:7" ht="15.75" customHeight="1">
      <c r="F389">
        <f>SUMIF(InvoicesInput!A$15:A$24, A389, InvoicesInput!B$15:B$24)</f>
        <v>0</v>
      </c>
      <c r="G389">
        <f t="shared" si="6"/>
        <v>0</v>
      </c>
    </row>
    <row r="390" spans="6:7" ht="15.75" customHeight="1">
      <c r="F390">
        <f>SUMIF(InvoicesInput!A$15:A$24, A390, InvoicesInput!B$15:B$24)</f>
        <v>0</v>
      </c>
      <c r="G390">
        <f t="shared" si="6"/>
        <v>0</v>
      </c>
    </row>
    <row r="391" spans="6:7" ht="15.75" customHeight="1">
      <c r="F391">
        <f>SUMIF(InvoicesInput!A$15:A$24, A391, InvoicesInput!B$15:B$24)</f>
        <v>0</v>
      </c>
      <c r="G391">
        <f t="shared" si="6"/>
        <v>0</v>
      </c>
    </row>
    <row r="392" spans="6:7" ht="15.75" customHeight="1">
      <c r="F392">
        <f>SUMIF(InvoicesInput!A$15:A$24, A392, InvoicesInput!B$15:B$24)</f>
        <v>0</v>
      </c>
      <c r="G392">
        <f t="shared" si="6"/>
        <v>0</v>
      </c>
    </row>
    <row r="393" spans="6:7" ht="15.75" customHeight="1">
      <c r="F393">
        <f>SUMIF(InvoicesInput!A$15:A$24, A393, InvoicesInput!B$15:B$24)</f>
        <v>0</v>
      </c>
      <c r="G393">
        <f t="shared" si="6"/>
        <v>0</v>
      </c>
    </row>
    <row r="394" spans="6:7" ht="15.75" customHeight="1">
      <c r="F394">
        <f>SUMIF(InvoicesInput!A$15:A$24, A394, InvoicesInput!B$15:B$24)</f>
        <v>0</v>
      </c>
      <c r="G394">
        <f t="shared" si="6"/>
        <v>0</v>
      </c>
    </row>
    <row r="395" spans="6:7" ht="15.75" customHeight="1">
      <c r="F395">
        <f>SUMIF(InvoicesInput!A$15:A$24, A395, InvoicesInput!B$15:B$24)</f>
        <v>0</v>
      </c>
      <c r="G395">
        <f t="shared" si="6"/>
        <v>0</v>
      </c>
    </row>
    <row r="396" spans="6:7" ht="15.75" customHeight="1">
      <c r="F396">
        <f>SUMIF(InvoicesInput!A$15:A$24, A396, InvoicesInput!B$15:B$24)</f>
        <v>0</v>
      </c>
      <c r="G396">
        <f t="shared" si="6"/>
        <v>0</v>
      </c>
    </row>
    <row r="397" spans="6:7" ht="15.75" customHeight="1">
      <c r="F397">
        <f>SUMIF(InvoicesInput!A$15:A$24, A397, InvoicesInput!B$15:B$24)</f>
        <v>0</v>
      </c>
      <c r="G397">
        <f t="shared" si="6"/>
        <v>0</v>
      </c>
    </row>
    <row r="398" spans="6:7" ht="15.75" customHeight="1">
      <c r="F398">
        <f>SUMIF(InvoicesInput!A$15:A$24, A398, InvoicesInput!B$15:B$24)</f>
        <v>0</v>
      </c>
      <c r="G398">
        <f t="shared" si="6"/>
        <v>0</v>
      </c>
    </row>
    <row r="399" spans="6:7" ht="15.75" customHeight="1">
      <c r="F399">
        <f>SUMIF(InvoicesInput!A$15:A$24, A399, InvoicesInput!B$15:B$24)</f>
        <v>0</v>
      </c>
      <c r="G399">
        <f t="shared" si="6"/>
        <v>0</v>
      </c>
    </row>
    <row r="400" spans="6:7" ht="15.75" customHeight="1">
      <c r="F400">
        <f>SUMIF(InvoicesInput!A$15:A$24, A400, InvoicesInput!B$15:B$24)</f>
        <v>0</v>
      </c>
      <c r="G400">
        <f t="shared" si="6"/>
        <v>0</v>
      </c>
    </row>
    <row r="401" spans="6:7" ht="15.75" customHeight="1">
      <c r="F401">
        <f>SUMIF(InvoicesInput!A$15:A$24, A401, InvoicesInput!B$15:B$24)</f>
        <v>0</v>
      </c>
      <c r="G401">
        <f t="shared" si="6"/>
        <v>0</v>
      </c>
    </row>
    <row r="402" spans="6:7" ht="15.75" customHeight="1">
      <c r="F402">
        <f>SUMIF(InvoicesInput!A$15:A$24, A402, InvoicesInput!B$15:B$24)</f>
        <v>0</v>
      </c>
      <c r="G402">
        <f t="shared" si="6"/>
        <v>0</v>
      </c>
    </row>
    <row r="403" spans="6:7" ht="15.75" customHeight="1">
      <c r="F403">
        <f>SUMIF(InvoicesInput!A$15:A$24, A403, InvoicesInput!B$15:B$24)</f>
        <v>0</v>
      </c>
      <c r="G403">
        <f t="shared" si="6"/>
        <v>0</v>
      </c>
    </row>
    <row r="404" spans="6:7" ht="15.75" customHeight="1">
      <c r="F404">
        <f>SUMIF(InvoicesInput!A$15:A$24, A404, InvoicesInput!B$15:B$24)</f>
        <v>0</v>
      </c>
      <c r="G404">
        <f t="shared" si="6"/>
        <v>0</v>
      </c>
    </row>
    <row r="405" spans="6:7" ht="15.75" customHeight="1">
      <c r="F405">
        <f>SUMIF(InvoicesInput!A$15:A$24, A405, InvoicesInput!B$15:B$24)</f>
        <v>0</v>
      </c>
      <c r="G405">
        <f t="shared" si="6"/>
        <v>0</v>
      </c>
    </row>
    <row r="406" spans="6:7" ht="15.75" customHeight="1">
      <c r="F406">
        <f>SUMIF(InvoicesInput!A$15:A$24, A406, InvoicesInput!B$15:B$24)</f>
        <v>0</v>
      </c>
      <c r="G406">
        <f t="shared" si="6"/>
        <v>0</v>
      </c>
    </row>
    <row r="407" spans="6:7" ht="15.75" customHeight="1">
      <c r="F407">
        <f>SUMIF(InvoicesInput!A$15:A$24, A407, InvoicesInput!B$15:B$24)</f>
        <v>0</v>
      </c>
      <c r="G407">
        <f t="shared" si="6"/>
        <v>0</v>
      </c>
    </row>
    <row r="408" spans="6:7" ht="15.75" customHeight="1">
      <c r="F408">
        <f>SUMIF(InvoicesInput!A$15:A$24, A408, InvoicesInput!B$15:B$24)</f>
        <v>0</v>
      </c>
      <c r="G408">
        <f t="shared" si="6"/>
        <v>0</v>
      </c>
    </row>
    <row r="409" spans="6:7" ht="15.75" customHeight="1">
      <c r="F409">
        <f>SUMIF(InvoicesInput!A$15:A$24, A409, InvoicesInput!B$15:B$24)</f>
        <v>0</v>
      </c>
      <c r="G409">
        <f t="shared" si="6"/>
        <v>0</v>
      </c>
    </row>
    <row r="410" spans="6:7" ht="15.75" customHeight="1">
      <c r="F410">
        <f>SUMIF(InvoicesInput!A$15:A$24, A410, InvoicesInput!B$15:B$24)</f>
        <v>0</v>
      </c>
      <c r="G410">
        <f t="shared" si="6"/>
        <v>0</v>
      </c>
    </row>
    <row r="411" spans="6:7" ht="15.75" customHeight="1">
      <c r="F411">
        <f>SUMIF(InvoicesInput!A$15:A$24, A411, InvoicesInput!B$15:B$24)</f>
        <v>0</v>
      </c>
      <c r="G411">
        <f t="shared" si="6"/>
        <v>0</v>
      </c>
    </row>
    <row r="412" spans="6:7" ht="15.75" customHeight="1">
      <c r="F412">
        <f>SUMIF(InvoicesInput!A$15:A$24, A412, InvoicesInput!B$15:B$24)</f>
        <v>0</v>
      </c>
      <c r="G412">
        <f t="shared" si="6"/>
        <v>0</v>
      </c>
    </row>
    <row r="413" spans="6:7" ht="15.75" customHeight="1">
      <c r="F413">
        <f>SUMIF(InvoicesInput!A$15:A$24, A413, InvoicesInput!B$15:B$24)</f>
        <v>0</v>
      </c>
      <c r="G413">
        <f t="shared" si="6"/>
        <v>0</v>
      </c>
    </row>
    <row r="414" spans="6:7" ht="15.75" customHeight="1">
      <c r="F414">
        <f>SUMIF(InvoicesInput!A$15:A$24, A414, InvoicesInput!B$15:B$24)</f>
        <v>0</v>
      </c>
      <c r="G414">
        <f t="shared" si="6"/>
        <v>0</v>
      </c>
    </row>
    <row r="415" spans="6:7" ht="15.75" customHeight="1">
      <c r="F415">
        <f>SUMIF(InvoicesInput!A$15:A$24, A415, InvoicesInput!B$15:B$24)</f>
        <v>0</v>
      </c>
      <c r="G415">
        <f t="shared" si="6"/>
        <v>0</v>
      </c>
    </row>
    <row r="416" spans="6:7" ht="15.75" customHeight="1">
      <c r="F416">
        <f>SUMIF(InvoicesInput!A$15:A$24, A416, InvoicesInput!B$15:B$24)</f>
        <v>0</v>
      </c>
      <c r="G416">
        <f t="shared" si="6"/>
        <v>0</v>
      </c>
    </row>
    <row r="417" spans="6:7" ht="15.75" customHeight="1">
      <c r="F417">
        <f>SUMIF(InvoicesInput!A$15:A$24, A417, InvoicesInput!B$15:B$24)</f>
        <v>0</v>
      </c>
      <c r="G417">
        <f t="shared" si="6"/>
        <v>0</v>
      </c>
    </row>
    <row r="418" spans="6:7" ht="15.75" customHeight="1">
      <c r="F418">
        <f>SUMIF(InvoicesInput!A$15:A$24, A418, InvoicesInput!B$15:B$24)</f>
        <v>0</v>
      </c>
      <c r="G418">
        <f t="shared" si="6"/>
        <v>0</v>
      </c>
    </row>
    <row r="419" spans="6:7" ht="15.75" customHeight="1">
      <c r="F419">
        <f>SUMIF(InvoicesInput!A$15:A$24, A419, InvoicesInput!B$15:B$24)</f>
        <v>0</v>
      </c>
      <c r="G419">
        <f t="shared" si="6"/>
        <v>0</v>
      </c>
    </row>
    <row r="420" spans="6:7" ht="15.75" customHeight="1">
      <c r="F420">
        <f>SUMIF(InvoicesInput!A$15:A$24, A420, InvoicesInput!B$15:B$24)</f>
        <v>0</v>
      </c>
      <c r="G420">
        <f t="shared" si="6"/>
        <v>0</v>
      </c>
    </row>
    <row r="421" spans="6:7" ht="15.75" customHeight="1">
      <c r="F421">
        <f>SUMIF(InvoicesInput!A$15:A$24, A421, InvoicesInput!B$15:B$24)</f>
        <v>0</v>
      </c>
      <c r="G421">
        <f t="shared" si="6"/>
        <v>0</v>
      </c>
    </row>
    <row r="422" spans="6:7" ht="15.75" customHeight="1">
      <c r="F422">
        <f>SUMIF(InvoicesInput!A$15:A$24, A422, InvoicesInput!B$15:B$24)</f>
        <v>0</v>
      </c>
      <c r="G422">
        <f t="shared" si="6"/>
        <v>0</v>
      </c>
    </row>
    <row r="423" spans="6:7" ht="15.75" customHeight="1">
      <c r="F423">
        <f>SUMIF(InvoicesInput!A$15:A$24, A423, InvoicesInput!B$15:B$24)</f>
        <v>0</v>
      </c>
      <c r="G423">
        <f t="shared" si="6"/>
        <v>0</v>
      </c>
    </row>
    <row r="424" spans="6:7" ht="15.75" customHeight="1">
      <c r="F424">
        <f>SUMIF(InvoicesInput!A$15:A$24, A424, InvoicesInput!B$15:B$24)</f>
        <v>0</v>
      </c>
      <c r="G424">
        <f t="shared" si="6"/>
        <v>0</v>
      </c>
    </row>
    <row r="425" spans="6:7" ht="15.75" customHeight="1">
      <c r="F425">
        <f>SUMIF(InvoicesInput!A$15:A$24, A425, InvoicesInput!B$15:B$24)</f>
        <v>0</v>
      </c>
      <c r="G425">
        <f t="shared" si="6"/>
        <v>0</v>
      </c>
    </row>
    <row r="426" spans="6:7" ht="15.75" customHeight="1">
      <c r="F426">
        <f>SUMIF(InvoicesInput!A$15:A$24, A426, InvoicesInput!B$15:B$24)</f>
        <v>0</v>
      </c>
      <c r="G426">
        <f t="shared" si="6"/>
        <v>0</v>
      </c>
    </row>
    <row r="427" spans="6:7" ht="15.75" customHeight="1">
      <c r="F427">
        <f>SUMIF(InvoicesInput!A$15:A$24, A427, InvoicesInput!B$15:B$24)</f>
        <v>0</v>
      </c>
      <c r="G427">
        <f t="shared" si="6"/>
        <v>0</v>
      </c>
    </row>
    <row r="428" spans="6:7" ht="15.75" customHeight="1">
      <c r="F428">
        <f>SUMIF(InvoicesInput!A$15:A$24, A428, InvoicesInput!B$15:B$24)</f>
        <v>0</v>
      </c>
      <c r="G428">
        <f t="shared" si="6"/>
        <v>0</v>
      </c>
    </row>
    <row r="429" spans="6:7" ht="15.75" customHeight="1">
      <c r="F429">
        <f>SUMIF(InvoicesInput!A$15:A$24, A429, InvoicesInput!B$15:B$24)</f>
        <v>0</v>
      </c>
      <c r="G429">
        <f t="shared" si="6"/>
        <v>0</v>
      </c>
    </row>
    <row r="430" spans="6:7" ht="15.75" customHeight="1">
      <c r="F430">
        <f>SUMIF(InvoicesInput!A$15:A$24, A430, InvoicesInput!B$15:B$24)</f>
        <v>0</v>
      </c>
      <c r="G430">
        <f t="shared" si="6"/>
        <v>0</v>
      </c>
    </row>
    <row r="431" spans="6:7" ht="15.75" customHeight="1">
      <c r="F431">
        <f>SUMIF(InvoicesInput!A$15:A$24, A431, InvoicesInput!B$15:B$24)</f>
        <v>0</v>
      </c>
      <c r="G431">
        <f t="shared" si="6"/>
        <v>0</v>
      </c>
    </row>
    <row r="432" spans="6:7" ht="15.75" customHeight="1">
      <c r="F432">
        <f>SUMIF(InvoicesInput!A$15:A$24, A432, InvoicesInput!B$15:B$24)</f>
        <v>0</v>
      </c>
      <c r="G432">
        <f t="shared" si="6"/>
        <v>0</v>
      </c>
    </row>
    <row r="433" spans="6:7" ht="15.75" customHeight="1">
      <c r="F433">
        <f>SUMIF(InvoicesInput!A$15:A$24, A433, InvoicesInput!B$15:B$24)</f>
        <v>0</v>
      </c>
      <c r="G433">
        <f t="shared" si="6"/>
        <v>0</v>
      </c>
    </row>
    <row r="434" spans="6:7" ht="15.75" customHeight="1">
      <c r="F434">
        <f>SUMIF(InvoicesInput!A$15:A$24, A434, InvoicesInput!B$15:B$24)</f>
        <v>0</v>
      </c>
      <c r="G434">
        <f t="shared" si="6"/>
        <v>0</v>
      </c>
    </row>
    <row r="435" spans="6:7" ht="15.75" customHeight="1">
      <c r="F435">
        <f>SUMIF(InvoicesInput!A$15:A$24, A435, InvoicesInput!B$15:B$24)</f>
        <v>0</v>
      </c>
      <c r="G435">
        <f t="shared" si="6"/>
        <v>0</v>
      </c>
    </row>
    <row r="436" spans="6:7" ht="15.75" customHeight="1">
      <c r="F436">
        <f>SUMIF(InvoicesInput!A$15:A$24, A436, InvoicesInput!B$15:B$24)</f>
        <v>0</v>
      </c>
      <c r="G436">
        <f t="shared" si="6"/>
        <v>0</v>
      </c>
    </row>
    <row r="437" spans="6:7" ht="15.75" customHeight="1">
      <c r="F437">
        <f>SUMIF(InvoicesInput!A$15:A$24, A437, InvoicesInput!B$15:B$24)</f>
        <v>0</v>
      </c>
      <c r="G437">
        <f t="shared" si="6"/>
        <v>0</v>
      </c>
    </row>
    <row r="438" spans="6:7" ht="15.75" customHeight="1">
      <c r="F438">
        <f>SUMIF(InvoicesInput!A$15:A$24, A438, InvoicesInput!B$15:B$24)</f>
        <v>0</v>
      </c>
      <c r="G438">
        <f t="shared" si="6"/>
        <v>0</v>
      </c>
    </row>
    <row r="439" spans="6:7" ht="15.75" customHeight="1">
      <c r="F439">
        <f>SUMIF(InvoicesInput!A$15:A$24, A439, InvoicesInput!B$15:B$24)</f>
        <v>0</v>
      </c>
      <c r="G439">
        <f t="shared" si="6"/>
        <v>0</v>
      </c>
    </row>
    <row r="440" spans="6:7" ht="15.75" customHeight="1">
      <c r="F440">
        <f>SUMIF(InvoicesInput!A$15:A$24, A440, InvoicesInput!B$15:B$24)</f>
        <v>0</v>
      </c>
      <c r="G440">
        <f t="shared" si="6"/>
        <v>0</v>
      </c>
    </row>
    <row r="441" spans="6:7" ht="15.75" customHeight="1">
      <c r="F441">
        <f>SUMIF(InvoicesInput!A$15:A$24, A441, InvoicesInput!B$15:B$24)</f>
        <v>0</v>
      </c>
      <c r="G441">
        <f t="shared" si="6"/>
        <v>0</v>
      </c>
    </row>
    <row r="442" spans="6:7" ht="15.75" customHeight="1">
      <c r="F442">
        <f>SUMIF(InvoicesInput!A$15:A$24, A442, InvoicesInput!B$15:B$24)</f>
        <v>0</v>
      </c>
      <c r="G442">
        <f t="shared" si="6"/>
        <v>0</v>
      </c>
    </row>
    <row r="443" spans="6:7" ht="15.75" customHeight="1">
      <c r="F443">
        <f>SUMIF(InvoicesInput!A$15:A$24, A443, InvoicesInput!B$15:B$24)</f>
        <v>0</v>
      </c>
      <c r="G443">
        <f t="shared" si="6"/>
        <v>0</v>
      </c>
    </row>
    <row r="444" spans="6:7" ht="15.75" customHeight="1">
      <c r="F444">
        <f>SUMIF(InvoicesInput!A$15:A$24, A444, InvoicesInput!B$15:B$24)</f>
        <v>0</v>
      </c>
      <c r="G444">
        <f t="shared" si="6"/>
        <v>0</v>
      </c>
    </row>
    <row r="445" spans="6:7" ht="15.75" customHeight="1">
      <c r="F445">
        <f>SUMIF(InvoicesInput!A$15:A$24, A445, InvoicesInput!B$15:B$24)</f>
        <v>0</v>
      </c>
      <c r="G445">
        <f t="shared" si="6"/>
        <v>0</v>
      </c>
    </row>
    <row r="446" spans="6:7" ht="15.75" customHeight="1">
      <c r="F446">
        <f>SUMIF(InvoicesInput!A$15:A$24, A446, InvoicesInput!B$15:B$24)</f>
        <v>0</v>
      </c>
      <c r="G446">
        <f t="shared" si="6"/>
        <v>0</v>
      </c>
    </row>
    <row r="447" spans="6:7" ht="15.75" customHeight="1">
      <c r="F447">
        <f>SUMIF(InvoicesInput!A$15:A$24, A447, InvoicesInput!B$15:B$24)</f>
        <v>0</v>
      </c>
      <c r="G447">
        <f t="shared" si="6"/>
        <v>0</v>
      </c>
    </row>
    <row r="448" spans="6:7" ht="15.75" customHeight="1">
      <c r="F448">
        <f>SUMIF(InvoicesInput!A$15:A$24, A448, InvoicesInput!B$15:B$24)</f>
        <v>0</v>
      </c>
      <c r="G448">
        <f t="shared" si="6"/>
        <v>0</v>
      </c>
    </row>
    <row r="449" spans="6:7" ht="15.75" customHeight="1">
      <c r="F449">
        <f>SUMIF(InvoicesInput!A$15:A$24, A449, InvoicesInput!B$15:B$24)</f>
        <v>0</v>
      </c>
      <c r="G449">
        <f t="shared" si="6"/>
        <v>0</v>
      </c>
    </row>
    <row r="450" spans="6:7" ht="15.75" customHeight="1">
      <c r="F450">
        <f>SUMIF(InvoicesInput!A$15:A$24, A450, InvoicesInput!B$15:B$24)</f>
        <v>0</v>
      </c>
      <c r="G450">
        <f t="shared" si="6"/>
        <v>0</v>
      </c>
    </row>
    <row r="451" spans="6:7" ht="15.75" customHeight="1">
      <c r="F451">
        <f>SUMIF(InvoicesInput!A$15:A$24, A451, InvoicesInput!B$15:B$24)</f>
        <v>0</v>
      </c>
      <c r="G451">
        <f t="shared" ref="G451:G514" si="7">B451 - F451</f>
        <v>0</v>
      </c>
    </row>
    <row r="452" spans="6:7" ht="15.75" customHeight="1">
      <c r="F452">
        <f>SUMIF(InvoicesInput!A$15:A$24, A452, InvoicesInput!B$15:B$24)</f>
        <v>0</v>
      </c>
      <c r="G452">
        <f t="shared" si="7"/>
        <v>0</v>
      </c>
    </row>
    <row r="453" spans="6:7" ht="15.75" customHeight="1">
      <c r="F453">
        <f>SUMIF(InvoicesInput!A$15:A$24, A453, InvoicesInput!B$15:B$24)</f>
        <v>0</v>
      </c>
      <c r="G453">
        <f t="shared" si="7"/>
        <v>0</v>
      </c>
    </row>
    <row r="454" spans="6:7" ht="15.75" customHeight="1">
      <c r="F454">
        <f>SUMIF(InvoicesInput!A$15:A$24, A454, InvoicesInput!B$15:B$24)</f>
        <v>0</v>
      </c>
      <c r="G454">
        <f t="shared" si="7"/>
        <v>0</v>
      </c>
    </row>
    <row r="455" spans="6:7" ht="15.75" customHeight="1">
      <c r="F455">
        <f>SUMIF(InvoicesInput!A$15:A$24, A455, InvoicesInput!B$15:B$24)</f>
        <v>0</v>
      </c>
      <c r="G455">
        <f t="shared" si="7"/>
        <v>0</v>
      </c>
    </row>
    <row r="456" spans="6:7" ht="15.75" customHeight="1">
      <c r="F456">
        <f>SUMIF(InvoicesInput!A$15:A$24, A456, InvoicesInput!B$15:B$24)</f>
        <v>0</v>
      </c>
      <c r="G456">
        <f t="shared" si="7"/>
        <v>0</v>
      </c>
    </row>
    <row r="457" spans="6:7" ht="15.75" customHeight="1">
      <c r="F457">
        <f>SUMIF(InvoicesInput!A$15:A$24, A457, InvoicesInput!B$15:B$24)</f>
        <v>0</v>
      </c>
      <c r="G457">
        <f t="shared" si="7"/>
        <v>0</v>
      </c>
    </row>
    <row r="458" spans="6:7" ht="15.75" customHeight="1">
      <c r="F458">
        <f>SUMIF(InvoicesInput!A$15:A$24, A458, InvoicesInput!B$15:B$24)</f>
        <v>0</v>
      </c>
      <c r="G458">
        <f t="shared" si="7"/>
        <v>0</v>
      </c>
    </row>
    <row r="459" spans="6:7" ht="15.75" customHeight="1">
      <c r="F459">
        <f>SUMIF(InvoicesInput!A$15:A$24, A459, InvoicesInput!B$15:B$24)</f>
        <v>0</v>
      </c>
      <c r="G459">
        <f t="shared" si="7"/>
        <v>0</v>
      </c>
    </row>
    <row r="460" spans="6:7" ht="15.75" customHeight="1">
      <c r="F460">
        <f>SUMIF(InvoicesInput!A$15:A$24, A460, InvoicesInput!B$15:B$24)</f>
        <v>0</v>
      </c>
      <c r="G460">
        <f t="shared" si="7"/>
        <v>0</v>
      </c>
    </row>
    <row r="461" spans="6:7" ht="15.75" customHeight="1">
      <c r="F461">
        <f>SUMIF(InvoicesInput!A$15:A$24, A461, InvoicesInput!B$15:B$24)</f>
        <v>0</v>
      </c>
      <c r="G461">
        <f t="shared" si="7"/>
        <v>0</v>
      </c>
    </row>
    <row r="462" spans="6:7" ht="15.75" customHeight="1">
      <c r="F462">
        <f>SUMIF(InvoicesInput!A$15:A$24, A462, InvoicesInput!B$15:B$24)</f>
        <v>0</v>
      </c>
      <c r="G462">
        <f t="shared" si="7"/>
        <v>0</v>
      </c>
    </row>
    <row r="463" spans="6:7" ht="15.75" customHeight="1">
      <c r="F463">
        <f>SUMIF(InvoicesInput!A$15:A$24, A463, InvoicesInput!B$15:B$24)</f>
        <v>0</v>
      </c>
      <c r="G463">
        <f t="shared" si="7"/>
        <v>0</v>
      </c>
    </row>
    <row r="464" spans="6:7" ht="15.75" customHeight="1">
      <c r="F464">
        <f>SUMIF(InvoicesInput!A$15:A$24, A464, InvoicesInput!B$15:B$24)</f>
        <v>0</v>
      </c>
      <c r="G464">
        <f t="shared" si="7"/>
        <v>0</v>
      </c>
    </row>
    <row r="465" spans="6:7" ht="15.75" customHeight="1">
      <c r="F465">
        <f>SUMIF(InvoicesInput!A$15:A$24, A465, InvoicesInput!B$15:B$24)</f>
        <v>0</v>
      </c>
      <c r="G465">
        <f t="shared" si="7"/>
        <v>0</v>
      </c>
    </row>
    <row r="466" spans="6:7" ht="15.75" customHeight="1">
      <c r="F466">
        <f>SUMIF(InvoicesInput!A$15:A$24, A466, InvoicesInput!B$15:B$24)</f>
        <v>0</v>
      </c>
      <c r="G466">
        <f t="shared" si="7"/>
        <v>0</v>
      </c>
    </row>
    <row r="467" spans="6:7" ht="15.75" customHeight="1">
      <c r="F467">
        <f>SUMIF(InvoicesInput!A$15:A$24, A467, InvoicesInput!B$15:B$24)</f>
        <v>0</v>
      </c>
      <c r="G467">
        <f t="shared" si="7"/>
        <v>0</v>
      </c>
    </row>
    <row r="468" spans="6:7" ht="15.75" customHeight="1">
      <c r="F468">
        <f>SUMIF(InvoicesInput!A$15:A$24, A468, InvoicesInput!B$15:B$24)</f>
        <v>0</v>
      </c>
      <c r="G468">
        <f t="shared" si="7"/>
        <v>0</v>
      </c>
    </row>
    <row r="469" spans="6:7" ht="15.75" customHeight="1">
      <c r="F469">
        <f>SUMIF(InvoicesInput!A$15:A$24, A469, InvoicesInput!B$15:B$24)</f>
        <v>0</v>
      </c>
      <c r="G469">
        <f t="shared" si="7"/>
        <v>0</v>
      </c>
    </row>
    <row r="470" spans="6:7" ht="15.75" customHeight="1">
      <c r="F470">
        <f>SUMIF(InvoicesInput!A$15:A$24, A470, InvoicesInput!B$15:B$24)</f>
        <v>0</v>
      </c>
      <c r="G470">
        <f t="shared" si="7"/>
        <v>0</v>
      </c>
    </row>
    <row r="471" spans="6:7" ht="15.75" customHeight="1">
      <c r="F471">
        <f>SUMIF(InvoicesInput!A$15:A$24, A471, InvoicesInput!B$15:B$24)</f>
        <v>0</v>
      </c>
      <c r="G471">
        <f t="shared" si="7"/>
        <v>0</v>
      </c>
    </row>
    <row r="472" spans="6:7" ht="15.75" customHeight="1">
      <c r="F472">
        <f>SUMIF(InvoicesInput!A$15:A$24, A472, InvoicesInput!B$15:B$24)</f>
        <v>0</v>
      </c>
      <c r="G472">
        <f t="shared" si="7"/>
        <v>0</v>
      </c>
    </row>
    <row r="473" spans="6:7" ht="15.75" customHeight="1">
      <c r="F473">
        <f>SUMIF(InvoicesInput!A$15:A$24, A473, InvoicesInput!B$15:B$24)</f>
        <v>0</v>
      </c>
      <c r="G473">
        <f t="shared" si="7"/>
        <v>0</v>
      </c>
    </row>
    <row r="474" spans="6:7" ht="15.75" customHeight="1">
      <c r="F474">
        <f>SUMIF(InvoicesInput!A$15:A$24, A474, InvoicesInput!B$15:B$24)</f>
        <v>0</v>
      </c>
      <c r="G474">
        <f t="shared" si="7"/>
        <v>0</v>
      </c>
    </row>
    <row r="475" spans="6:7" ht="15.75" customHeight="1">
      <c r="F475">
        <f>SUMIF(InvoicesInput!A$15:A$24, A475, InvoicesInput!B$15:B$24)</f>
        <v>0</v>
      </c>
      <c r="G475">
        <f t="shared" si="7"/>
        <v>0</v>
      </c>
    </row>
    <row r="476" spans="6:7" ht="15.75" customHeight="1">
      <c r="F476">
        <f>SUMIF(InvoicesInput!A$15:A$24, A476, InvoicesInput!B$15:B$24)</f>
        <v>0</v>
      </c>
      <c r="G476">
        <f t="shared" si="7"/>
        <v>0</v>
      </c>
    </row>
    <row r="477" spans="6:7" ht="15.75" customHeight="1">
      <c r="F477">
        <f>SUMIF(InvoicesInput!A$15:A$24, A477, InvoicesInput!B$15:B$24)</f>
        <v>0</v>
      </c>
      <c r="G477">
        <f t="shared" si="7"/>
        <v>0</v>
      </c>
    </row>
    <row r="478" spans="6:7" ht="15.75" customHeight="1">
      <c r="F478">
        <f>SUMIF(InvoicesInput!A$15:A$24, A478, InvoicesInput!B$15:B$24)</f>
        <v>0</v>
      </c>
      <c r="G478">
        <f t="shared" si="7"/>
        <v>0</v>
      </c>
    </row>
    <row r="479" spans="6:7" ht="15.75" customHeight="1">
      <c r="F479">
        <f>SUMIF(InvoicesInput!A$15:A$24, A479, InvoicesInput!B$15:B$24)</f>
        <v>0</v>
      </c>
      <c r="G479">
        <f t="shared" si="7"/>
        <v>0</v>
      </c>
    </row>
    <row r="480" spans="6:7" ht="15.75" customHeight="1">
      <c r="F480">
        <f>SUMIF(InvoicesInput!A$15:A$24, A480, InvoicesInput!B$15:B$24)</f>
        <v>0</v>
      </c>
      <c r="G480">
        <f t="shared" si="7"/>
        <v>0</v>
      </c>
    </row>
    <row r="481" spans="6:7" ht="15.75" customHeight="1">
      <c r="F481">
        <f>SUMIF(InvoicesInput!A$15:A$24, A481, InvoicesInput!B$15:B$24)</f>
        <v>0</v>
      </c>
      <c r="G481">
        <f t="shared" si="7"/>
        <v>0</v>
      </c>
    </row>
    <row r="482" spans="6:7" ht="15.75" customHeight="1">
      <c r="F482">
        <f>SUMIF(InvoicesInput!A$15:A$24, A482, InvoicesInput!B$15:B$24)</f>
        <v>0</v>
      </c>
      <c r="G482">
        <f t="shared" si="7"/>
        <v>0</v>
      </c>
    </row>
    <row r="483" spans="6:7" ht="15.75" customHeight="1">
      <c r="F483">
        <f>SUMIF(InvoicesInput!A$15:A$24, A483, InvoicesInput!B$15:B$24)</f>
        <v>0</v>
      </c>
      <c r="G483">
        <f t="shared" si="7"/>
        <v>0</v>
      </c>
    </row>
    <row r="484" spans="6:7" ht="15.75" customHeight="1">
      <c r="F484">
        <f>SUMIF(InvoicesInput!A$15:A$24, A484, InvoicesInput!B$15:B$24)</f>
        <v>0</v>
      </c>
      <c r="G484">
        <f t="shared" si="7"/>
        <v>0</v>
      </c>
    </row>
    <row r="485" spans="6:7" ht="15.75" customHeight="1">
      <c r="F485">
        <f>SUMIF(InvoicesInput!A$15:A$24, A485, InvoicesInput!B$15:B$24)</f>
        <v>0</v>
      </c>
      <c r="G485">
        <f t="shared" si="7"/>
        <v>0</v>
      </c>
    </row>
    <row r="486" spans="6:7" ht="15.75" customHeight="1">
      <c r="F486">
        <f>SUMIF(InvoicesInput!A$15:A$24, A486, InvoicesInput!B$15:B$24)</f>
        <v>0</v>
      </c>
      <c r="G486">
        <f t="shared" si="7"/>
        <v>0</v>
      </c>
    </row>
    <row r="487" spans="6:7" ht="15.75" customHeight="1">
      <c r="F487">
        <f>SUMIF(InvoicesInput!A$15:A$24, A487, InvoicesInput!B$15:B$24)</f>
        <v>0</v>
      </c>
      <c r="G487">
        <f t="shared" si="7"/>
        <v>0</v>
      </c>
    </row>
    <row r="488" spans="6:7" ht="15.75" customHeight="1">
      <c r="F488">
        <f>SUMIF(InvoicesInput!A$15:A$24, A488, InvoicesInput!B$15:B$24)</f>
        <v>0</v>
      </c>
      <c r="G488">
        <f t="shared" si="7"/>
        <v>0</v>
      </c>
    </row>
    <row r="489" spans="6:7" ht="15.75" customHeight="1">
      <c r="F489">
        <f>SUMIF(InvoicesInput!A$15:A$24, A489, InvoicesInput!B$15:B$24)</f>
        <v>0</v>
      </c>
      <c r="G489">
        <f t="shared" si="7"/>
        <v>0</v>
      </c>
    </row>
    <row r="490" spans="6:7" ht="15.75" customHeight="1">
      <c r="F490">
        <f>SUMIF(InvoicesInput!A$15:A$24, A490, InvoicesInput!B$15:B$24)</f>
        <v>0</v>
      </c>
      <c r="G490">
        <f t="shared" si="7"/>
        <v>0</v>
      </c>
    </row>
    <row r="491" spans="6:7" ht="15.75" customHeight="1">
      <c r="F491">
        <f>SUMIF(InvoicesInput!A$15:A$24, A491, InvoicesInput!B$15:B$24)</f>
        <v>0</v>
      </c>
      <c r="G491">
        <f t="shared" si="7"/>
        <v>0</v>
      </c>
    </row>
    <row r="492" spans="6:7" ht="15.75" customHeight="1">
      <c r="F492">
        <f>SUMIF(InvoicesInput!A$15:A$24, A492, InvoicesInput!B$15:B$24)</f>
        <v>0</v>
      </c>
      <c r="G492">
        <f t="shared" si="7"/>
        <v>0</v>
      </c>
    </row>
    <row r="493" spans="6:7" ht="15.75" customHeight="1">
      <c r="F493">
        <f>SUMIF(InvoicesInput!A$15:A$24, A493, InvoicesInput!B$15:B$24)</f>
        <v>0</v>
      </c>
      <c r="G493">
        <f t="shared" si="7"/>
        <v>0</v>
      </c>
    </row>
    <row r="494" spans="6:7" ht="15.75" customHeight="1">
      <c r="F494">
        <f>SUMIF(InvoicesInput!A$15:A$24, A494, InvoicesInput!B$15:B$24)</f>
        <v>0</v>
      </c>
      <c r="G494">
        <f t="shared" si="7"/>
        <v>0</v>
      </c>
    </row>
    <row r="495" spans="6:7" ht="15.75" customHeight="1">
      <c r="F495">
        <f>SUMIF(InvoicesInput!A$15:A$24, A495, InvoicesInput!B$15:B$24)</f>
        <v>0</v>
      </c>
      <c r="G495">
        <f t="shared" si="7"/>
        <v>0</v>
      </c>
    </row>
    <row r="496" spans="6:7" ht="15.75" customHeight="1">
      <c r="F496">
        <f>SUMIF(InvoicesInput!A$15:A$24, A496, InvoicesInput!B$15:B$24)</f>
        <v>0</v>
      </c>
      <c r="G496">
        <f t="shared" si="7"/>
        <v>0</v>
      </c>
    </row>
    <row r="497" spans="6:7" ht="15.75" customHeight="1">
      <c r="F497">
        <f>SUMIF(InvoicesInput!A$15:A$24, A497, InvoicesInput!B$15:B$24)</f>
        <v>0</v>
      </c>
      <c r="G497">
        <f t="shared" si="7"/>
        <v>0</v>
      </c>
    </row>
    <row r="498" spans="6:7" ht="15.75" customHeight="1">
      <c r="F498">
        <f>SUMIF(InvoicesInput!A$15:A$24, A498, InvoicesInput!B$15:B$24)</f>
        <v>0</v>
      </c>
      <c r="G498">
        <f t="shared" si="7"/>
        <v>0</v>
      </c>
    </row>
    <row r="499" spans="6:7" ht="15.75" customHeight="1">
      <c r="F499">
        <f>SUMIF(InvoicesInput!A$15:A$24, A499, InvoicesInput!B$15:B$24)</f>
        <v>0</v>
      </c>
      <c r="G499">
        <f t="shared" si="7"/>
        <v>0</v>
      </c>
    </row>
    <row r="500" spans="6:7" ht="15.75" customHeight="1">
      <c r="F500">
        <f>SUMIF(InvoicesInput!A$15:A$24, A500, InvoicesInput!B$15:B$24)</f>
        <v>0</v>
      </c>
      <c r="G500">
        <f t="shared" si="7"/>
        <v>0</v>
      </c>
    </row>
    <row r="501" spans="6:7" ht="15.75" customHeight="1">
      <c r="F501">
        <f>SUMIF(InvoicesInput!A$15:A$24, A501, InvoicesInput!B$15:B$24)</f>
        <v>0</v>
      </c>
      <c r="G501">
        <f t="shared" si="7"/>
        <v>0</v>
      </c>
    </row>
    <row r="502" spans="6:7" ht="15.75" customHeight="1">
      <c r="F502">
        <f>SUMIF(InvoicesInput!A$15:A$24, A502, InvoicesInput!B$15:B$24)</f>
        <v>0</v>
      </c>
      <c r="G502">
        <f t="shared" si="7"/>
        <v>0</v>
      </c>
    </row>
    <row r="503" spans="6:7" ht="15.75" customHeight="1">
      <c r="F503">
        <f>SUMIF(InvoicesInput!A$15:A$24, A503, InvoicesInput!B$15:B$24)</f>
        <v>0</v>
      </c>
      <c r="G503">
        <f t="shared" si="7"/>
        <v>0</v>
      </c>
    </row>
    <row r="504" spans="6:7" ht="15.75" customHeight="1">
      <c r="F504">
        <f>SUMIF(InvoicesInput!A$15:A$24, A504, InvoicesInput!B$15:B$24)</f>
        <v>0</v>
      </c>
      <c r="G504">
        <f t="shared" si="7"/>
        <v>0</v>
      </c>
    </row>
    <row r="505" spans="6:7" ht="15.75" customHeight="1">
      <c r="F505">
        <f>SUMIF(InvoicesInput!A$15:A$24, A505, InvoicesInput!B$15:B$24)</f>
        <v>0</v>
      </c>
      <c r="G505">
        <f t="shared" si="7"/>
        <v>0</v>
      </c>
    </row>
    <row r="506" spans="6:7" ht="15.75" customHeight="1">
      <c r="F506">
        <f>SUMIF(InvoicesInput!A$15:A$24, A506, InvoicesInput!B$15:B$24)</f>
        <v>0</v>
      </c>
      <c r="G506">
        <f t="shared" si="7"/>
        <v>0</v>
      </c>
    </row>
    <row r="507" spans="6:7" ht="15.75" customHeight="1">
      <c r="F507">
        <f>SUMIF(InvoicesInput!A$15:A$24, A507, InvoicesInput!B$15:B$24)</f>
        <v>0</v>
      </c>
      <c r="G507">
        <f t="shared" si="7"/>
        <v>0</v>
      </c>
    </row>
    <row r="508" spans="6:7" ht="15.75" customHeight="1">
      <c r="F508">
        <f>SUMIF(InvoicesInput!A$15:A$24, A508, InvoicesInput!B$15:B$24)</f>
        <v>0</v>
      </c>
      <c r="G508">
        <f t="shared" si="7"/>
        <v>0</v>
      </c>
    </row>
    <row r="509" spans="6:7" ht="15.75" customHeight="1">
      <c r="F509">
        <f>SUMIF(InvoicesInput!A$15:A$24, A509, InvoicesInput!B$15:B$24)</f>
        <v>0</v>
      </c>
      <c r="G509">
        <f t="shared" si="7"/>
        <v>0</v>
      </c>
    </row>
    <row r="510" spans="6:7" ht="15.75" customHeight="1">
      <c r="F510">
        <f>SUMIF(InvoicesInput!A$15:A$24, A510, InvoicesInput!B$15:B$24)</f>
        <v>0</v>
      </c>
      <c r="G510">
        <f t="shared" si="7"/>
        <v>0</v>
      </c>
    </row>
    <row r="511" spans="6:7" ht="15.75" customHeight="1">
      <c r="F511">
        <f>SUMIF(InvoicesInput!A$15:A$24, A511, InvoicesInput!B$15:B$24)</f>
        <v>0</v>
      </c>
      <c r="G511">
        <f t="shared" si="7"/>
        <v>0</v>
      </c>
    </row>
    <row r="512" spans="6:7" ht="15.75" customHeight="1">
      <c r="F512">
        <f>SUMIF(InvoicesInput!A$15:A$24, A512, InvoicesInput!B$15:B$24)</f>
        <v>0</v>
      </c>
      <c r="G512">
        <f t="shared" si="7"/>
        <v>0</v>
      </c>
    </row>
    <row r="513" spans="6:7" ht="15.75" customHeight="1">
      <c r="F513">
        <f>SUMIF(InvoicesInput!A$15:A$24, A513, InvoicesInput!B$15:B$24)</f>
        <v>0</v>
      </c>
      <c r="G513">
        <f t="shared" si="7"/>
        <v>0</v>
      </c>
    </row>
    <row r="514" spans="6:7" ht="15.75" customHeight="1">
      <c r="F514">
        <f>SUMIF(InvoicesInput!A$15:A$24, A514, InvoicesInput!B$15:B$24)</f>
        <v>0</v>
      </c>
      <c r="G514">
        <f t="shared" si="7"/>
        <v>0</v>
      </c>
    </row>
    <row r="515" spans="6:7" ht="15.75" customHeight="1">
      <c r="F515">
        <f>SUMIF(InvoicesInput!A$15:A$24, A515, InvoicesInput!B$15:B$24)</f>
        <v>0</v>
      </c>
      <c r="G515">
        <f t="shared" ref="G515:G578" si="8">B515 - F515</f>
        <v>0</v>
      </c>
    </row>
    <row r="516" spans="6:7" ht="15.75" customHeight="1">
      <c r="F516">
        <f>SUMIF(InvoicesInput!A$15:A$24, A516, InvoicesInput!B$15:B$24)</f>
        <v>0</v>
      </c>
      <c r="G516">
        <f t="shared" si="8"/>
        <v>0</v>
      </c>
    </row>
    <row r="517" spans="6:7" ht="15.75" customHeight="1">
      <c r="F517">
        <f>SUMIF(InvoicesInput!A$15:A$24, A517, InvoicesInput!B$15:B$24)</f>
        <v>0</v>
      </c>
      <c r="G517">
        <f t="shared" si="8"/>
        <v>0</v>
      </c>
    </row>
    <row r="518" spans="6:7" ht="15.75" customHeight="1">
      <c r="F518">
        <f>SUMIF(InvoicesInput!A$15:A$24, A518, InvoicesInput!B$15:B$24)</f>
        <v>0</v>
      </c>
      <c r="G518">
        <f t="shared" si="8"/>
        <v>0</v>
      </c>
    </row>
    <row r="519" spans="6:7" ht="15.75" customHeight="1">
      <c r="F519">
        <f>SUMIF(InvoicesInput!A$15:A$24, A519, InvoicesInput!B$15:B$24)</f>
        <v>0</v>
      </c>
      <c r="G519">
        <f t="shared" si="8"/>
        <v>0</v>
      </c>
    </row>
    <row r="520" spans="6:7" ht="15.75" customHeight="1">
      <c r="F520">
        <f>SUMIF(InvoicesInput!A$15:A$24, A520, InvoicesInput!B$15:B$24)</f>
        <v>0</v>
      </c>
      <c r="G520">
        <f t="shared" si="8"/>
        <v>0</v>
      </c>
    </row>
    <row r="521" spans="6:7" ht="15.75" customHeight="1">
      <c r="F521">
        <f>SUMIF(InvoicesInput!A$15:A$24, A521, InvoicesInput!B$15:B$24)</f>
        <v>0</v>
      </c>
      <c r="G521">
        <f t="shared" si="8"/>
        <v>0</v>
      </c>
    </row>
    <row r="522" spans="6:7" ht="15.75" customHeight="1">
      <c r="F522">
        <f>SUMIF(InvoicesInput!A$15:A$24, A522, InvoicesInput!B$15:B$24)</f>
        <v>0</v>
      </c>
      <c r="G522">
        <f t="shared" si="8"/>
        <v>0</v>
      </c>
    </row>
    <row r="523" spans="6:7" ht="15.75" customHeight="1">
      <c r="F523">
        <f>SUMIF(InvoicesInput!A$15:A$24, A523, InvoicesInput!B$15:B$24)</f>
        <v>0</v>
      </c>
      <c r="G523">
        <f t="shared" si="8"/>
        <v>0</v>
      </c>
    </row>
    <row r="524" spans="6:7" ht="15.75" customHeight="1">
      <c r="F524">
        <f>SUMIF(InvoicesInput!A$15:A$24, A524, InvoicesInput!B$15:B$24)</f>
        <v>0</v>
      </c>
      <c r="G524">
        <f t="shared" si="8"/>
        <v>0</v>
      </c>
    </row>
    <row r="525" spans="6:7" ht="15.75" customHeight="1">
      <c r="F525">
        <f>SUMIF(InvoicesInput!A$15:A$24, A525, InvoicesInput!B$15:B$24)</f>
        <v>0</v>
      </c>
      <c r="G525">
        <f t="shared" si="8"/>
        <v>0</v>
      </c>
    </row>
    <row r="526" spans="6:7" ht="15.75" customHeight="1">
      <c r="F526">
        <f>SUMIF(InvoicesInput!A$15:A$24, A526, InvoicesInput!B$15:B$24)</f>
        <v>0</v>
      </c>
      <c r="G526">
        <f t="shared" si="8"/>
        <v>0</v>
      </c>
    </row>
    <row r="527" spans="6:7" ht="15.75" customHeight="1">
      <c r="F527">
        <f>SUMIF(InvoicesInput!A$15:A$24, A527, InvoicesInput!B$15:B$24)</f>
        <v>0</v>
      </c>
      <c r="G527">
        <f t="shared" si="8"/>
        <v>0</v>
      </c>
    </row>
    <row r="528" spans="6:7" ht="15.75" customHeight="1">
      <c r="F528">
        <f>SUMIF(InvoicesInput!A$15:A$24, A528, InvoicesInput!B$15:B$24)</f>
        <v>0</v>
      </c>
      <c r="G528">
        <f t="shared" si="8"/>
        <v>0</v>
      </c>
    </row>
    <row r="529" spans="6:7" ht="15.75" customHeight="1">
      <c r="F529">
        <f>SUMIF(InvoicesInput!A$15:A$24, A529, InvoicesInput!B$15:B$24)</f>
        <v>0</v>
      </c>
      <c r="G529">
        <f t="shared" si="8"/>
        <v>0</v>
      </c>
    </row>
    <row r="530" spans="6:7" ht="15.75" customHeight="1">
      <c r="F530">
        <f>SUMIF(InvoicesInput!A$15:A$24, A530, InvoicesInput!B$15:B$24)</f>
        <v>0</v>
      </c>
      <c r="G530">
        <f t="shared" si="8"/>
        <v>0</v>
      </c>
    </row>
    <row r="531" spans="6:7" ht="15.75" customHeight="1">
      <c r="F531">
        <f>SUMIF(InvoicesInput!A$15:A$24, A531, InvoicesInput!B$15:B$24)</f>
        <v>0</v>
      </c>
      <c r="G531">
        <f t="shared" si="8"/>
        <v>0</v>
      </c>
    </row>
    <row r="532" spans="6:7" ht="15.75" customHeight="1">
      <c r="F532">
        <f>SUMIF(InvoicesInput!A$15:A$24, A532, InvoicesInput!B$15:B$24)</f>
        <v>0</v>
      </c>
      <c r="G532">
        <f t="shared" si="8"/>
        <v>0</v>
      </c>
    </row>
    <row r="533" spans="6:7" ht="15.75" customHeight="1">
      <c r="F533">
        <f>SUMIF(InvoicesInput!A$15:A$24, A533, InvoicesInput!B$15:B$24)</f>
        <v>0</v>
      </c>
      <c r="G533">
        <f t="shared" si="8"/>
        <v>0</v>
      </c>
    </row>
    <row r="534" spans="6:7" ht="15.75" customHeight="1">
      <c r="F534">
        <f>SUMIF(InvoicesInput!A$15:A$24, A534, InvoicesInput!B$15:B$24)</f>
        <v>0</v>
      </c>
      <c r="G534">
        <f t="shared" si="8"/>
        <v>0</v>
      </c>
    </row>
    <row r="535" spans="6:7" ht="15.75" customHeight="1">
      <c r="F535">
        <f>SUMIF(InvoicesInput!A$15:A$24, A535, InvoicesInput!B$15:B$24)</f>
        <v>0</v>
      </c>
      <c r="G535">
        <f t="shared" si="8"/>
        <v>0</v>
      </c>
    </row>
    <row r="536" spans="6:7" ht="15.75" customHeight="1">
      <c r="F536">
        <f>SUMIF(InvoicesInput!A$15:A$24, A536, InvoicesInput!B$15:B$24)</f>
        <v>0</v>
      </c>
      <c r="G536">
        <f t="shared" si="8"/>
        <v>0</v>
      </c>
    </row>
    <row r="537" spans="6:7" ht="15.75" customHeight="1">
      <c r="F537">
        <f>SUMIF(InvoicesInput!A$15:A$24, A537, InvoicesInput!B$15:B$24)</f>
        <v>0</v>
      </c>
      <c r="G537">
        <f t="shared" si="8"/>
        <v>0</v>
      </c>
    </row>
    <row r="538" spans="6:7" ht="15.75" customHeight="1">
      <c r="F538">
        <f>SUMIF(InvoicesInput!A$15:A$24, A538, InvoicesInput!B$15:B$24)</f>
        <v>0</v>
      </c>
      <c r="G538">
        <f t="shared" si="8"/>
        <v>0</v>
      </c>
    </row>
    <row r="539" spans="6:7" ht="15.75" customHeight="1">
      <c r="F539">
        <f>SUMIF(InvoicesInput!A$15:A$24, A539, InvoicesInput!B$15:B$24)</f>
        <v>0</v>
      </c>
      <c r="G539">
        <f t="shared" si="8"/>
        <v>0</v>
      </c>
    </row>
    <row r="540" spans="6:7" ht="15.75" customHeight="1">
      <c r="F540">
        <f>SUMIF(InvoicesInput!A$15:A$24, A540, InvoicesInput!B$15:B$24)</f>
        <v>0</v>
      </c>
      <c r="G540">
        <f t="shared" si="8"/>
        <v>0</v>
      </c>
    </row>
    <row r="541" spans="6:7" ht="15.75" customHeight="1">
      <c r="F541">
        <f>SUMIF(InvoicesInput!A$15:A$24, A541, InvoicesInput!B$15:B$24)</f>
        <v>0</v>
      </c>
      <c r="G541">
        <f t="shared" si="8"/>
        <v>0</v>
      </c>
    </row>
    <row r="542" spans="6:7" ht="15.75" customHeight="1">
      <c r="F542">
        <f>SUMIF(InvoicesInput!A$15:A$24, A542, InvoicesInput!B$15:B$24)</f>
        <v>0</v>
      </c>
      <c r="G542">
        <f t="shared" si="8"/>
        <v>0</v>
      </c>
    </row>
    <row r="543" spans="6:7" ht="15.75" customHeight="1">
      <c r="F543">
        <f>SUMIF(InvoicesInput!A$15:A$24, A543, InvoicesInput!B$15:B$24)</f>
        <v>0</v>
      </c>
      <c r="G543">
        <f t="shared" si="8"/>
        <v>0</v>
      </c>
    </row>
    <row r="544" spans="6:7" ht="15.75" customHeight="1">
      <c r="F544">
        <f>SUMIF(InvoicesInput!A$15:A$24, A544, InvoicesInput!B$15:B$24)</f>
        <v>0</v>
      </c>
      <c r="G544">
        <f t="shared" si="8"/>
        <v>0</v>
      </c>
    </row>
    <row r="545" spans="6:7" ht="15.75" customHeight="1">
      <c r="F545">
        <f>SUMIF(InvoicesInput!A$15:A$24, A545, InvoicesInput!B$15:B$24)</f>
        <v>0</v>
      </c>
      <c r="G545">
        <f t="shared" si="8"/>
        <v>0</v>
      </c>
    </row>
    <row r="546" spans="6:7" ht="15.75" customHeight="1">
      <c r="F546">
        <f>SUMIF(InvoicesInput!A$15:A$24, A546, InvoicesInput!B$15:B$24)</f>
        <v>0</v>
      </c>
      <c r="G546">
        <f t="shared" si="8"/>
        <v>0</v>
      </c>
    </row>
    <row r="547" spans="6:7" ht="15.75" customHeight="1">
      <c r="F547">
        <f>SUMIF(InvoicesInput!A$15:A$24, A547, InvoicesInput!B$15:B$24)</f>
        <v>0</v>
      </c>
      <c r="G547">
        <f t="shared" si="8"/>
        <v>0</v>
      </c>
    </row>
    <row r="548" spans="6:7" ht="15.75" customHeight="1">
      <c r="F548">
        <f>SUMIF(InvoicesInput!A$15:A$24, A548, InvoicesInput!B$15:B$24)</f>
        <v>0</v>
      </c>
      <c r="G548">
        <f t="shared" si="8"/>
        <v>0</v>
      </c>
    </row>
    <row r="549" spans="6:7" ht="15.75" customHeight="1">
      <c r="F549">
        <f>SUMIF(InvoicesInput!A$15:A$24, A549, InvoicesInput!B$15:B$24)</f>
        <v>0</v>
      </c>
      <c r="G549">
        <f t="shared" si="8"/>
        <v>0</v>
      </c>
    </row>
    <row r="550" spans="6:7" ht="15.75" customHeight="1">
      <c r="F550">
        <f>SUMIF(InvoicesInput!A$15:A$24, A550, InvoicesInput!B$15:B$24)</f>
        <v>0</v>
      </c>
      <c r="G550">
        <f t="shared" si="8"/>
        <v>0</v>
      </c>
    </row>
    <row r="551" spans="6:7" ht="15.75" customHeight="1">
      <c r="F551">
        <f>SUMIF(InvoicesInput!A$15:A$24, A551, InvoicesInput!B$15:B$24)</f>
        <v>0</v>
      </c>
      <c r="G551">
        <f t="shared" si="8"/>
        <v>0</v>
      </c>
    </row>
    <row r="552" spans="6:7" ht="15.75" customHeight="1">
      <c r="F552">
        <f>SUMIF(InvoicesInput!A$15:A$24, A552, InvoicesInput!B$15:B$24)</f>
        <v>0</v>
      </c>
      <c r="G552">
        <f t="shared" si="8"/>
        <v>0</v>
      </c>
    </row>
    <row r="553" spans="6:7" ht="15.75" customHeight="1">
      <c r="F553">
        <f>SUMIF(InvoicesInput!A$15:A$24, A553, InvoicesInput!B$15:B$24)</f>
        <v>0</v>
      </c>
      <c r="G553">
        <f t="shared" si="8"/>
        <v>0</v>
      </c>
    </row>
    <row r="554" spans="6:7" ht="15.75" customHeight="1">
      <c r="F554">
        <f>SUMIF(InvoicesInput!A$15:A$24, A554, InvoicesInput!B$15:B$24)</f>
        <v>0</v>
      </c>
      <c r="G554">
        <f t="shared" si="8"/>
        <v>0</v>
      </c>
    </row>
    <row r="555" spans="6:7" ht="15.75" customHeight="1">
      <c r="F555">
        <f>SUMIF(InvoicesInput!A$15:A$24, A555, InvoicesInput!B$15:B$24)</f>
        <v>0</v>
      </c>
      <c r="G555">
        <f t="shared" si="8"/>
        <v>0</v>
      </c>
    </row>
    <row r="556" spans="6:7" ht="15.75" customHeight="1">
      <c r="F556">
        <f>SUMIF(InvoicesInput!A$15:A$24, A556, InvoicesInput!B$15:B$24)</f>
        <v>0</v>
      </c>
      <c r="G556">
        <f t="shared" si="8"/>
        <v>0</v>
      </c>
    </row>
    <row r="557" spans="6:7" ht="15.75" customHeight="1">
      <c r="F557">
        <f>SUMIF(InvoicesInput!A$15:A$24, A557, InvoicesInput!B$15:B$24)</f>
        <v>0</v>
      </c>
      <c r="G557">
        <f t="shared" si="8"/>
        <v>0</v>
      </c>
    </row>
    <row r="558" spans="6:7" ht="15.75" customHeight="1">
      <c r="F558">
        <f>SUMIF(InvoicesInput!A$15:A$24, A558, InvoicesInput!B$15:B$24)</f>
        <v>0</v>
      </c>
      <c r="G558">
        <f t="shared" si="8"/>
        <v>0</v>
      </c>
    </row>
    <row r="559" spans="6:7" ht="15.75" customHeight="1">
      <c r="F559">
        <f>SUMIF(InvoicesInput!A$15:A$24, A559, InvoicesInput!B$15:B$24)</f>
        <v>0</v>
      </c>
      <c r="G559">
        <f t="shared" si="8"/>
        <v>0</v>
      </c>
    </row>
    <row r="560" spans="6:7" ht="15.75" customHeight="1">
      <c r="F560">
        <f>SUMIF(InvoicesInput!A$15:A$24, A560, InvoicesInput!B$15:B$24)</f>
        <v>0</v>
      </c>
      <c r="G560">
        <f t="shared" si="8"/>
        <v>0</v>
      </c>
    </row>
    <row r="561" spans="6:7" ht="15.75" customHeight="1">
      <c r="F561">
        <f>SUMIF(InvoicesInput!A$15:A$24, A561, InvoicesInput!B$15:B$24)</f>
        <v>0</v>
      </c>
      <c r="G561">
        <f t="shared" si="8"/>
        <v>0</v>
      </c>
    </row>
    <row r="562" spans="6:7" ht="15.75" customHeight="1">
      <c r="F562">
        <f>SUMIF(InvoicesInput!A$15:A$24, A562, InvoicesInput!B$15:B$24)</f>
        <v>0</v>
      </c>
      <c r="G562">
        <f t="shared" si="8"/>
        <v>0</v>
      </c>
    </row>
    <row r="563" spans="6:7" ht="15.75" customHeight="1">
      <c r="F563">
        <f>SUMIF(InvoicesInput!A$15:A$24, A563, InvoicesInput!B$15:B$24)</f>
        <v>0</v>
      </c>
      <c r="G563">
        <f t="shared" si="8"/>
        <v>0</v>
      </c>
    </row>
    <row r="564" spans="6:7" ht="15.75" customHeight="1">
      <c r="F564">
        <f>SUMIF(InvoicesInput!A$15:A$24, A564, InvoicesInput!B$15:B$24)</f>
        <v>0</v>
      </c>
      <c r="G564">
        <f t="shared" si="8"/>
        <v>0</v>
      </c>
    </row>
    <row r="565" spans="6:7" ht="15.75" customHeight="1">
      <c r="F565">
        <f>SUMIF(InvoicesInput!A$15:A$24, A565, InvoicesInput!B$15:B$24)</f>
        <v>0</v>
      </c>
      <c r="G565">
        <f t="shared" si="8"/>
        <v>0</v>
      </c>
    </row>
    <row r="566" spans="6:7" ht="15.75" customHeight="1">
      <c r="F566">
        <f>SUMIF(InvoicesInput!A$15:A$24, A566, InvoicesInput!B$15:B$24)</f>
        <v>0</v>
      </c>
      <c r="G566">
        <f t="shared" si="8"/>
        <v>0</v>
      </c>
    </row>
    <row r="567" spans="6:7" ht="15.75" customHeight="1">
      <c r="F567">
        <f>SUMIF(InvoicesInput!A$15:A$24, A567, InvoicesInput!B$15:B$24)</f>
        <v>0</v>
      </c>
      <c r="G567">
        <f t="shared" si="8"/>
        <v>0</v>
      </c>
    </row>
    <row r="568" spans="6:7" ht="15.75" customHeight="1">
      <c r="F568">
        <f>SUMIF(InvoicesInput!A$15:A$24, A568, InvoicesInput!B$15:B$24)</f>
        <v>0</v>
      </c>
      <c r="G568">
        <f t="shared" si="8"/>
        <v>0</v>
      </c>
    </row>
    <row r="569" spans="6:7" ht="15.75" customHeight="1">
      <c r="F569">
        <f>SUMIF(InvoicesInput!A$15:A$24, A569, InvoicesInput!B$15:B$24)</f>
        <v>0</v>
      </c>
      <c r="G569">
        <f t="shared" si="8"/>
        <v>0</v>
      </c>
    </row>
    <row r="570" spans="6:7" ht="15.75" customHeight="1">
      <c r="F570">
        <f>SUMIF(InvoicesInput!A$15:A$24, A570, InvoicesInput!B$15:B$24)</f>
        <v>0</v>
      </c>
      <c r="G570">
        <f t="shared" si="8"/>
        <v>0</v>
      </c>
    </row>
    <row r="571" spans="6:7" ht="15.75" customHeight="1">
      <c r="F571">
        <f>SUMIF(InvoicesInput!A$15:A$24, A571, InvoicesInput!B$15:B$24)</f>
        <v>0</v>
      </c>
      <c r="G571">
        <f t="shared" si="8"/>
        <v>0</v>
      </c>
    </row>
    <row r="572" spans="6:7" ht="15.75" customHeight="1">
      <c r="F572">
        <f>SUMIF(InvoicesInput!A$15:A$24, A572, InvoicesInput!B$15:B$24)</f>
        <v>0</v>
      </c>
      <c r="G572">
        <f t="shared" si="8"/>
        <v>0</v>
      </c>
    </row>
    <row r="573" spans="6:7" ht="15.75" customHeight="1">
      <c r="F573">
        <f>SUMIF(InvoicesInput!A$15:A$24, A573, InvoicesInput!B$15:B$24)</f>
        <v>0</v>
      </c>
      <c r="G573">
        <f t="shared" si="8"/>
        <v>0</v>
      </c>
    </row>
    <row r="574" spans="6:7" ht="15.75" customHeight="1">
      <c r="F574">
        <f>SUMIF(InvoicesInput!A$15:A$24, A574, InvoicesInput!B$15:B$24)</f>
        <v>0</v>
      </c>
      <c r="G574">
        <f t="shared" si="8"/>
        <v>0</v>
      </c>
    </row>
    <row r="575" spans="6:7" ht="15.75" customHeight="1">
      <c r="F575">
        <f>SUMIF(InvoicesInput!A$15:A$24, A575, InvoicesInput!B$15:B$24)</f>
        <v>0</v>
      </c>
      <c r="G575">
        <f t="shared" si="8"/>
        <v>0</v>
      </c>
    </row>
    <row r="576" spans="6:7" ht="15.75" customHeight="1">
      <c r="F576">
        <f>SUMIF(InvoicesInput!A$15:A$24, A576, InvoicesInput!B$15:B$24)</f>
        <v>0</v>
      </c>
      <c r="G576">
        <f t="shared" si="8"/>
        <v>0</v>
      </c>
    </row>
    <row r="577" spans="6:7" ht="15.75" customHeight="1">
      <c r="F577">
        <f>SUMIF(InvoicesInput!A$15:A$24, A577, InvoicesInput!B$15:B$24)</f>
        <v>0</v>
      </c>
      <c r="G577">
        <f t="shared" si="8"/>
        <v>0</v>
      </c>
    </row>
    <row r="578" spans="6:7" ht="15.75" customHeight="1">
      <c r="F578">
        <f>SUMIF(InvoicesInput!A$15:A$24, A578, InvoicesInput!B$15:B$24)</f>
        <v>0</v>
      </c>
      <c r="G578">
        <f t="shared" si="8"/>
        <v>0</v>
      </c>
    </row>
    <row r="579" spans="6:7" ht="15.75" customHeight="1">
      <c r="F579">
        <f>SUMIF(InvoicesInput!A$15:A$24, A579, InvoicesInput!B$15:B$24)</f>
        <v>0</v>
      </c>
      <c r="G579">
        <f t="shared" ref="G579:G642" si="9">B579 - F579</f>
        <v>0</v>
      </c>
    </row>
    <row r="580" spans="6:7" ht="15.75" customHeight="1">
      <c r="F580">
        <f>SUMIF(InvoicesInput!A$15:A$24, A580, InvoicesInput!B$15:B$24)</f>
        <v>0</v>
      </c>
      <c r="G580">
        <f t="shared" si="9"/>
        <v>0</v>
      </c>
    </row>
    <row r="581" spans="6:7" ht="15.75" customHeight="1">
      <c r="F581">
        <f>SUMIF(InvoicesInput!A$15:A$24, A581, InvoicesInput!B$15:B$24)</f>
        <v>0</v>
      </c>
      <c r="G581">
        <f t="shared" si="9"/>
        <v>0</v>
      </c>
    </row>
    <row r="582" spans="6:7" ht="15.75" customHeight="1">
      <c r="F582">
        <f>SUMIF(InvoicesInput!A$15:A$24, A582, InvoicesInput!B$15:B$24)</f>
        <v>0</v>
      </c>
      <c r="G582">
        <f t="shared" si="9"/>
        <v>0</v>
      </c>
    </row>
    <row r="583" spans="6:7" ht="15.75" customHeight="1">
      <c r="F583">
        <f>SUMIF(InvoicesInput!A$15:A$24, A583, InvoicesInput!B$15:B$24)</f>
        <v>0</v>
      </c>
      <c r="G583">
        <f t="shared" si="9"/>
        <v>0</v>
      </c>
    </row>
    <row r="584" spans="6:7" ht="15.75" customHeight="1">
      <c r="F584">
        <f>SUMIF(InvoicesInput!A$15:A$24, A584, InvoicesInput!B$15:B$24)</f>
        <v>0</v>
      </c>
      <c r="G584">
        <f t="shared" si="9"/>
        <v>0</v>
      </c>
    </row>
    <row r="585" spans="6:7" ht="15.75" customHeight="1">
      <c r="F585">
        <f>SUMIF(InvoicesInput!A$15:A$24, A585, InvoicesInput!B$15:B$24)</f>
        <v>0</v>
      </c>
      <c r="G585">
        <f t="shared" si="9"/>
        <v>0</v>
      </c>
    </row>
    <row r="586" spans="6:7" ht="15.75" customHeight="1">
      <c r="F586">
        <f>SUMIF(InvoicesInput!A$15:A$24, A586, InvoicesInput!B$15:B$24)</f>
        <v>0</v>
      </c>
      <c r="G586">
        <f t="shared" si="9"/>
        <v>0</v>
      </c>
    </row>
    <row r="587" spans="6:7" ht="15.75" customHeight="1">
      <c r="F587">
        <f>SUMIF(InvoicesInput!A$15:A$24, A587, InvoicesInput!B$15:B$24)</f>
        <v>0</v>
      </c>
      <c r="G587">
        <f t="shared" si="9"/>
        <v>0</v>
      </c>
    </row>
    <row r="588" spans="6:7" ht="15.75" customHeight="1">
      <c r="F588">
        <f>SUMIF(InvoicesInput!A$15:A$24, A588, InvoicesInput!B$15:B$24)</f>
        <v>0</v>
      </c>
      <c r="G588">
        <f t="shared" si="9"/>
        <v>0</v>
      </c>
    </row>
    <row r="589" spans="6:7" ht="15.75" customHeight="1">
      <c r="F589">
        <f>SUMIF(InvoicesInput!A$15:A$24, A589, InvoicesInput!B$15:B$24)</f>
        <v>0</v>
      </c>
      <c r="G589">
        <f t="shared" si="9"/>
        <v>0</v>
      </c>
    </row>
    <row r="590" spans="6:7" ht="15.75" customHeight="1">
      <c r="F590">
        <f>SUMIF(InvoicesInput!A$15:A$24, A590, InvoicesInput!B$15:B$24)</f>
        <v>0</v>
      </c>
      <c r="G590">
        <f t="shared" si="9"/>
        <v>0</v>
      </c>
    </row>
    <row r="591" spans="6:7" ht="15.75" customHeight="1">
      <c r="F591">
        <f>SUMIF(InvoicesInput!A$15:A$24, A591, InvoicesInput!B$15:B$24)</f>
        <v>0</v>
      </c>
      <c r="G591">
        <f t="shared" si="9"/>
        <v>0</v>
      </c>
    </row>
    <row r="592" spans="6:7" ht="15.75" customHeight="1">
      <c r="F592">
        <f>SUMIF(InvoicesInput!A$15:A$24, A592, InvoicesInput!B$15:B$24)</f>
        <v>0</v>
      </c>
      <c r="G592">
        <f t="shared" si="9"/>
        <v>0</v>
      </c>
    </row>
    <row r="593" spans="6:7" ht="15.75" customHeight="1">
      <c r="F593">
        <f>SUMIF(InvoicesInput!A$15:A$24, A593, InvoicesInput!B$15:B$24)</f>
        <v>0</v>
      </c>
      <c r="G593">
        <f t="shared" si="9"/>
        <v>0</v>
      </c>
    </row>
    <row r="594" spans="6:7" ht="15.75" customHeight="1">
      <c r="F594">
        <f>SUMIF(InvoicesInput!A$15:A$24, A594, InvoicesInput!B$15:B$24)</f>
        <v>0</v>
      </c>
      <c r="G594">
        <f t="shared" si="9"/>
        <v>0</v>
      </c>
    </row>
    <row r="595" spans="6:7" ht="15.75" customHeight="1">
      <c r="F595">
        <f>SUMIF(InvoicesInput!A$15:A$24, A595, InvoicesInput!B$15:B$24)</f>
        <v>0</v>
      </c>
      <c r="G595">
        <f t="shared" si="9"/>
        <v>0</v>
      </c>
    </row>
    <row r="596" spans="6:7" ht="15.75" customHeight="1">
      <c r="F596">
        <f>SUMIF(InvoicesInput!A$15:A$24, A596, InvoicesInput!B$15:B$24)</f>
        <v>0</v>
      </c>
      <c r="G596">
        <f t="shared" si="9"/>
        <v>0</v>
      </c>
    </row>
    <row r="597" spans="6:7" ht="15.75" customHeight="1">
      <c r="F597">
        <f>SUMIF(InvoicesInput!A$15:A$24, A597, InvoicesInput!B$15:B$24)</f>
        <v>0</v>
      </c>
      <c r="G597">
        <f t="shared" si="9"/>
        <v>0</v>
      </c>
    </row>
    <row r="598" spans="6:7" ht="15.75" customHeight="1">
      <c r="F598">
        <f>SUMIF(InvoicesInput!A$15:A$24, A598, InvoicesInput!B$15:B$24)</f>
        <v>0</v>
      </c>
      <c r="G598">
        <f t="shared" si="9"/>
        <v>0</v>
      </c>
    </row>
    <row r="599" spans="6:7" ht="15.75" customHeight="1">
      <c r="F599">
        <f>SUMIF(InvoicesInput!A$15:A$24, A599, InvoicesInput!B$15:B$24)</f>
        <v>0</v>
      </c>
      <c r="G599">
        <f t="shared" si="9"/>
        <v>0</v>
      </c>
    </row>
    <row r="600" spans="6:7" ht="15.75" customHeight="1">
      <c r="F600">
        <f>SUMIF(InvoicesInput!A$15:A$24, A600, InvoicesInput!B$15:B$24)</f>
        <v>0</v>
      </c>
      <c r="G600">
        <f t="shared" si="9"/>
        <v>0</v>
      </c>
    </row>
    <row r="601" spans="6:7" ht="15.75" customHeight="1">
      <c r="F601">
        <f>SUMIF(InvoicesInput!A$15:A$24, A601, InvoicesInput!B$15:B$24)</f>
        <v>0</v>
      </c>
      <c r="G601">
        <f t="shared" si="9"/>
        <v>0</v>
      </c>
    </row>
    <row r="602" spans="6:7" ht="15.75" customHeight="1">
      <c r="F602">
        <f>SUMIF(InvoicesInput!A$15:A$24, A602, InvoicesInput!B$15:B$24)</f>
        <v>0</v>
      </c>
      <c r="G602">
        <f t="shared" si="9"/>
        <v>0</v>
      </c>
    </row>
    <row r="603" spans="6:7" ht="15.75" customHeight="1">
      <c r="F603">
        <f>SUMIF(InvoicesInput!A$15:A$24, A603, InvoicesInput!B$15:B$24)</f>
        <v>0</v>
      </c>
      <c r="G603">
        <f t="shared" si="9"/>
        <v>0</v>
      </c>
    </row>
    <row r="604" spans="6:7" ht="15.75" customHeight="1">
      <c r="F604">
        <f>SUMIF(InvoicesInput!A$15:A$24, A604, InvoicesInput!B$15:B$24)</f>
        <v>0</v>
      </c>
      <c r="G604">
        <f t="shared" si="9"/>
        <v>0</v>
      </c>
    </row>
    <row r="605" spans="6:7" ht="15.75" customHeight="1">
      <c r="F605">
        <f>SUMIF(InvoicesInput!A$15:A$24, A605, InvoicesInput!B$15:B$24)</f>
        <v>0</v>
      </c>
      <c r="G605">
        <f t="shared" si="9"/>
        <v>0</v>
      </c>
    </row>
    <row r="606" spans="6:7" ht="15.75" customHeight="1">
      <c r="F606">
        <f>SUMIF(InvoicesInput!A$15:A$24, A606, InvoicesInput!B$15:B$24)</f>
        <v>0</v>
      </c>
      <c r="G606">
        <f t="shared" si="9"/>
        <v>0</v>
      </c>
    </row>
    <row r="607" spans="6:7" ht="15.75" customHeight="1">
      <c r="F607">
        <f>SUMIF(InvoicesInput!A$15:A$24, A607, InvoicesInput!B$15:B$24)</f>
        <v>0</v>
      </c>
      <c r="G607">
        <f t="shared" si="9"/>
        <v>0</v>
      </c>
    </row>
    <row r="608" spans="6:7" ht="15.75" customHeight="1">
      <c r="F608">
        <f>SUMIF(InvoicesInput!A$15:A$24, A608, InvoicesInput!B$15:B$24)</f>
        <v>0</v>
      </c>
      <c r="G608">
        <f t="shared" si="9"/>
        <v>0</v>
      </c>
    </row>
    <row r="609" spans="6:7" ht="15.75" customHeight="1">
      <c r="F609">
        <f>SUMIF(InvoicesInput!A$15:A$24, A609, InvoicesInput!B$15:B$24)</f>
        <v>0</v>
      </c>
      <c r="G609">
        <f t="shared" si="9"/>
        <v>0</v>
      </c>
    </row>
    <row r="610" spans="6:7" ht="15.75" customHeight="1">
      <c r="F610">
        <f>SUMIF(InvoicesInput!A$15:A$24, A610, InvoicesInput!B$15:B$24)</f>
        <v>0</v>
      </c>
      <c r="G610">
        <f t="shared" si="9"/>
        <v>0</v>
      </c>
    </row>
    <row r="611" spans="6:7" ht="15.75" customHeight="1">
      <c r="F611">
        <f>SUMIF(InvoicesInput!A$15:A$24, A611, InvoicesInput!B$15:B$24)</f>
        <v>0</v>
      </c>
      <c r="G611">
        <f t="shared" si="9"/>
        <v>0</v>
      </c>
    </row>
    <row r="612" spans="6:7" ht="15.75" customHeight="1">
      <c r="F612">
        <f>SUMIF(InvoicesInput!A$15:A$24, A612, InvoicesInput!B$15:B$24)</f>
        <v>0</v>
      </c>
      <c r="G612">
        <f t="shared" si="9"/>
        <v>0</v>
      </c>
    </row>
    <row r="613" spans="6:7" ht="15.75" customHeight="1">
      <c r="F613">
        <f>SUMIF(InvoicesInput!A$15:A$24, A613, InvoicesInput!B$15:B$24)</f>
        <v>0</v>
      </c>
      <c r="G613">
        <f t="shared" si="9"/>
        <v>0</v>
      </c>
    </row>
    <row r="614" spans="6:7" ht="15.75" customHeight="1">
      <c r="F614">
        <f>SUMIF(InvoicesInput!A$15:A$24, A614, InvoicesInput!B$15:B$24)</f>
        <v>0</v>
      </c>
      <c r="G614">
        <f t="shared" si="9"/>
        <v>0</v>
      </c>
    </row>
    <row r="615" spans="6:7" ht="15.75" customHeight="1">
      <c r="F615">
        <f>SUMIF(InvoicesInput!A$15:A$24, A615, InvoicesInput!B$15:B$24)</f>
        <v>0</v>
      </c>
      <c r="G615">
        <f t="shared" si="9"/>
        <v>0</v>
      </c>
    </row>
    <row r="616" spans="6:7" ht="15.75" customHeight="1">
      <c r="F616">
        <f>SUMIF(InvoicesInput!A$15:A$24, A616, InvoicesInput!B$15:B$24)</f>
        <v>0</v>
      </c>
      <c r="G616">
        <f t="shared" si="9"/>
        <v>0</v>
      </c>
    </row>
    <row r="617" spans="6:7" ht="15.75" customHeight="1">
      <c r="F617">
        <f>SUMIF(InvoicesInput!A$15:A$24, A617, InvoicesInput!B$15:B$24)</f>
        <v>0</v>
      </c>
      <c r="G617">
        <f t="shared" si="9"/>
        <v>0</v>
      </c>
    </row>
    <row r="618" spans="6:7" ht="15.75" customHeight="1">
      <c r="F618">
        <f>SUMIF(InvoicesInput!A$15:A$24, A618, InvoicesInput!B$15:B$24)</f>
        <v>0</v>
      </c>
      <c r="G618">
        <f t="shared" si="9"/>
        <v>0</v>
      </c>
    </row>
    <row r="619" spans="6:7" ht="15.75" customHeight="1">
      <c r="F619">
        <f>SUMIF(InvoicesInput!A$15:A$24, A619, InvoicesInput!B$15:B$24)</f>
        <v>0</v>
      </c>
      <c r="G619">
        <f t="shared" si="9"/>
        <v>0</v>
      </c>
    </row>
    <row r="620" spans="6:7" ht="15.75" customHeight="1">
      <c r="F620">
        <f>SUMIF(InvoicesInput!A$15:A$24, A620, InvoicesInput!B$15:B$24)</f>
        <v>0</v>
      </c>
      <c r="G620">
        <f t="shared" si="9"/>
        <v>0</v>
      </c>
    </row>
    <row r="621" spans="6:7" ht="15.75" customHeight="1">
      <c r="F621">
        <f>SUMIF(InvoicesInput!A$15:A$24, A621, InvoicesInput!B$15:B$24)</f>
        <v>0</v>
      </c>
      <c r="G621">
        <f t="shared" si="9"/>
        <v>0</v>
      </c>
    </row>
    <row r="622" spans="6:7" ht="15.75" customHeight="1">
      <c r="F622">
        <f>SUMIF(InvoicesInput!A$15:A$24, A622, InvoicesInput!B$15:B$24)</f>
        <v>0</v>
      </c>
      <c r="G622">
        <f t="shared" si="9"/>
        <v>0</v>
      </c>
    </row>
    <row r="623" spans="6:7" ht="15.75" customHeight="1">
      <c r="F623">
        <f>SUMIF(InvoicesInput!A$15:A$24, A623, InvoicesInput!B$15:B$24)</f>
        <v>0</v>
      </c>
      <c r="G623">
        <f t="shared" si="9"/>
        <v>0</v>
      </c>
    </row>
    <row r="624" spans="6:7" ht="15.75" customHeight="1">
      <c r="F624">
        <f>SUMIF(InvoicesInput!A$15:A$24, A624, InvoicesInput!B$15:B$24)</f>
        <v>0</v>
      </c>
      <c r="G624">
        <f t="shared" si="9"/>
        <v>0</v>
      </c>
    </row>
    <row r="625" spans="6:7" ht="15.75" customHeight="1">
      <c r="F625">
        <f>SUMIF(InvoicesInput!A$15:A$24, A625, InvoicesInput!B$15:B$24)</f>
        <v>0</v>
      </c>
      <c r="G625">
        <f t="shared" si="9"/>
        <v>0</v>
      </c>
    </row>
    <row r="626" spans="6:7" ht="15.75" customHeight="1">
      <c r="F626">
        <f>SUMIF(InvoicesInput!A$15:A$24, A626, InvoicesInput!B$15:B$24)</f>
        <v>0</v>
      </c>
      <c r="G626">
        <f t="shared" si="9"/>
        <v>0</v>
      </c>
    </row>
    <row r="627" spans="6:7" ht="15.75" customHeight="1">
      <c r="F627">
        <f>SUMIF(InvoicesInput!A$15:A$24, A627, InvoicesInput!B$15:B$24)</f>
        <v>0</v>
      </c>
      <c r="G627">
        <f t="shared" si="9"/>
        <v>0</v>
      </c>
    </row>
    <row r="628" spans="6:7" ht="15.75" customHeight="1">
      <c r="F628">
        <f>SUMIF(InvoicesInput!A$15:A$24, A628, InvoicesInput!B$15:B$24)</f>
        <v>0</v>
      </c>
      <c r="G628">
        <f t="shared" si="9"/>
        <v>0</v>
      </c>
    </row>
    <row r="629" spans="6:7" ht="15.75" customHeight="1">
      <c r="F629">
        <f>SUMIF(InvoicesInput!A$15:A$24, A629, InvoicesInput!B$15:B$24)</f>
        <v>0</v>
      </c>
      <c r="G629">
        <f t="shared" si="9"/>
        <v>0</v>
      </c>
    </row>
    <row r="630" spans="6:7" ht="15.75" customHeight="1">
      <c r="F630">
        <f>SUMIF(InvoicesInput!A$15:A$24, A630, InvoicesInput!B$15:B$24)</f>
        <v>0</v>
      </c>
      <c r="G630">
        <f t="shared" si="9"/>
        <v>0</v>
      </c>
    </row>
    <row r="631" spans="6:7" ht="15.75" customHeight="1">
      <c r="F631">
        <f>SUMIF(InvoicesInput!A$15:A$24, A631, InvoicesInput!B$15:B$24)</f>
        <v>0</v>
      </c>
      <c r="G631">
        <f t="shared" si="9"/>
        <v>0</v>
      </c>
    </row>
    <row r="632" spans="6:7" ht="15.75" customHeight="1">
      <c r="F632">
        <f>SUMIF(InvoicesInput!A$15:A$24, A632, InvoicesInput!B$15:B$24)</f>
        <v>0</v>
      </c>
      <c r="G632">
        <f t="shared" si="9"/>
        <v>0</v>
      </c>
    </row>
    <row r="633" spans="6:7" ht="15.75" customHeight="1">
      <c r="F633">
        <f>SUMIF(InvoicesInput!A$15:A$24, A633, InvoicesInput!B$15:B$24)</f>
        <v>0</v>
      </c>
      <c r="G633">
        <f t="shared" si="9"/>
        <v>0</v>
      </c>
    </row>
    <row r="634" spans="6:7" ht="15.75" customHeight="1">
      <c r="F634">
        <f>SUMIF(InvoicesInput!A$15:A$24, A634, InvoicesInput!B$15:B$24)</f>
        <v>0</v>
      </c>
      <c r="G634">
        <f t="shared" si="9"/>
        <v>0</v>
      </c>
    </row>
    <row r="635" spans="6:7" ht="15.75" customHeight="1">
      <c r="F635">
        <f>SUMIF(InvoicesInput!A$15:A$24, A635, InvoicesInput!B$15:B$24)</f>
        <v>0</v>
      </c>
      <c r="G635">
        <f t="shared" si="9"/>
        <v>0</v>
      </c>
    </row>
    <row r="636" spans="6:7" ht="15.75" customHeight="1">
      <c r="F636">
        <f>SUMIF(InvoicesInput!A$15:A$24, A636, InvoicesInput!B$15:B$24)</f>
        <v>0</v>
      </c>
      <c r="G636">
        <f t="shared" si="9"/>
        <v>0</v>
      </c>
    </row>
    <row r="637" spans="6:7" ht="15.75" customHeight="1">
      <c r="F637">
        <f>SUMIF(InvoicesInput!A$15:A$24, A637, InvoicesInput!B$15:B$24)</f>
        <v>0</v>
      </c>
      <c r="G637">
        <f t="shared" si="9"/>
        <v>0</v>
      </c>
    </row>
    <row r="638" spans="6:7" ht="15.75" customHeight="1">
      <c r="F638">
        <f>SUMIF(InvoicesInput!A$15:A$24, A638, InvoicesInput!B$15:B$24)</f>
        <v>0</v>
      </c>
      <c r="G638">
        <f t="shared" si="9"/>
        <v>0</v>
      </c>
    </row>
    <row r="639" spans="6:7" ht="15.75" customHeight="1">
      <c r="F639">
        <f>SUMIF(InvoicesInput!A$15:A$24, A639, InvoicesInput!B$15:B$24)</f>
        <v>0</v>
      </c>
      <c r="G639">
        <f t="shared" si="9"/>
        <v>0</v>
      </c>
    </row>
    <row r="640" spans="6:7" ht="15.75" customHeight="1">
      <c r="F640">
        <f>SUMIF(InvoicesInput!A$15:A$24, A640, InvoicesInput!B$15:B$24)</f>
        <v>0</v>
      </c>
      <c r="G640">
        <f t="shared" si="9"/>
        <v>0</v>
      </c>
    </row>
    <row r="641" spans="6:7" ht="15.75" customHeight="1">
      <c r="F641">
        <f>SUMIF(InvoicesInput!A$15:A$24, A641, InvoicesInput!B$15:B$24)</f>
        <v>0</v>
      </c>
      <c r="G641">
        <f t="shared" si="9"/>
        <v>0</v>
      </c>
    </row>
    <row r="642" spans="6:7" ht="15.75" customHeight="1">
      <c r="F642">
        <f>SUMIF(InvoicesInput!A$15:A$24, A642, InvoicesInput!B$15:B$24)</f>
        <v>0</v>
      </c>
      <c r="G642">
        <f t="shared" si="9"/>
        <v>0</v>
      </c>
    </row>
    <row r="643" spans="6:7" ht="15.75" customHeight="1">
      <c r="F643">
        <f>SUMIF(InvoicesInput!A$15:A$24, A643, InvoicesInput!B$15:B$24)</f>
        <v>0</v>
      </c>
      <c r="G643">
        <f t="shared" ref="G643:G706" si="10">B643 - F643</f>
        <v>0</v>
      </c>
    </row>
    <row r="644" spans="6:7" ht="15.75" customHeight="1">
      <c r="F644">
        <f>SUMIF(InvoicesInput!A$15:A$24, A644, InvoicesInput!B$15:B$24)</f>
        <v>0</v>
      </c>
      <c r="G644">
        <f t="shared" si="10"/>
        <v>0</v>
      </c>
    </row>
    <row r="645" spans="6:7" ht="15.75" customHeight="1">
      <c r="F645">
        <f>SUMIF(InvoicesInput!A$15:A$24, A645, InvoicesInput!B$15:B$24)</f>
        <v>0</v>
      </c>
      <c r="G645">
        <f t="shared" si="10"/>
        <v>0</v>
      </c>
    </row>
    <row r="646" spans="6:7" ht="15.75" customHeight="1">
      <c r="F646">
        <f>SUMIF(InvoicesInput!A$15:A$24, A646, InvoicesInput!B$15:B$24)</f>
        <v>0</v>
      </c>
      <c r="G646">
        <f t="shared" si="10"/>
        <v>0</v>
      </c>
    </row>
    <row r="647" spans="6:7" ht="15.75" customHeight="1">
      <c r="F647">
        <f>SUMIF(InvoicesInput!A$15:A$24, A647, InvoicesInput!B$15:B$24)</f>
        <v>0</v>
      </c>
      <c r="G647">
        <f t="shared" si="10"/>
        <v>0</v>
      </c>
    </row>
    <row r="648" spans="6:7" ht="15.75" customHeight="1">
      <c r="F648">
        <f>SUMIF(InvoicesInput!A$15:A$24, A648, InvoicesInput!B$15:B$24)</f>
        <v>0</v>
      </c>
      <c r="G648">
        <f t="shared" si="10"/>
        <v>0</v>
      </c>
    </row>
    <row r="649" spans="6:7" ht="15.75" customHeight="1">
      <c r="F649">
        <f>SUMIF(InvoicesInput!A$15:A$24, A649, InvoicesInput!B$15:B$24)</f>
        <v>0</v>
      </c>
      <c r="G649">
        <f t="shared" si="10"/>
        <v>0</v>
      </c>
    </row>
    <row r="650" spans="6:7" ht="15.75" customHeight="1">
      <c r="F650">
        <f>SUMIF(InvoicesInput!A$15:A$24, A650, InvoicesInput!B$15:B$24)</f>
        <v>0</v>
      </c>
      <c r="G650">
        <f t="shared" si="10"/>
        <v>0</v>
      </c>
    </row>
    <row r="651" spans="6:7" ht="15.75" customHeight="1">
      <c r="F651">
        <f>SUMIF(InvoicesInput!A$15:A$24, A651, InvoicesInput!B$15:B$24)</f>
        <v>0</v>
      </c>
      <c r="G651">
        <f t="shared" si="10"/>
        <v>0</v>
      </c>
    </row>
    <row r="652" spans="6:7" ht="15.75" customHeight="1">
      <c r="F652">
        <f>SUMIF(InvoicesInput!A$15:A$24, A652, InvoicesInput!B$15:B$24)</f>
        <v>0</v>
      </c>
      <c r="G652">
        <f t="shared" si="10"/>
        <v>0</v>
      </c>
    </row>
    <row r="653" spans="6:7" ht="15.75" customHeight="1">
      <c r="F653">
        <f>SUMIF(InvoicesInput!A$15:A$24, A653, InvoicesInput!B$15:B$24)</f>
        <v>0</v>
      </c>
      <c r="G653">
        <f t="shared" si="10"/>
        <v>0</v>
      </c>
    </row>
    <row r="654" spans="6:7" ht="15.75" customHeight="1">
      <c r="F654">
        <f>SUMIF(InvoicesInput!A$15:A$24, A654, InvoicesInput!B$15:B$24)</f>
        <v>0</v>
      </c>
      <c r="G654">
        <f t="shared" si="10"/>
        <v>0</v>
      </c>
    </row>
    <row r="655" spans="6:7" ht="15.75" customHeight="1">
      <c r="F655">
        <f>SUMIF(InvoicesInput!A$15:A$24, A655, InvoicesInput!B$15:B$24)</f>
        <v>0</v>
      </c>
      <c r="G655">
        <f t="shared" si="10"/>
        <v>0</v>
      </c>
    </row>
    <row r="656" spans="6:7" ht="15.75" customHeight="1">
      <c r="F656">
        <f>SUMIF(InvoicesInput!A$15:A$24, A656, InvoicesInput!B$15:B$24)</f>
        <v>0</v>
      </c>
      <c r="G656">
        <f t="shared" si="10"/>
        <v>0</v>
      </c>
    </row>
    <row r="657" spans="6:7" ht="15.75" customHeight="1">
      <c r="F657">
        <f>SUMIF(InvoicesInput!A$15:A$24, A657, InvoicesInput!B$15:B$24)</f>
        <v>0</v>
      </c>
      <c r="G657">
        <f t="shared" si="10"/>
        <v>0</v>
      </c>
    </row>
    <row r="658" spans="6:7" ht="15.75" customHeight="1">
      <c r="F658">
        <f>SUMIF(InvoicesInput!A$15:A$24, A658, InvoicesInput!B$15:B$24)</f>
        <v>0</v>
      </c>
      <c r="G658">
        <f t="shared" si="10"/>
        <v>0</v>
      </c>
    </row>
    <row r="659" spans="6:7" ht="15.75" customHeight="1">
      <c r="F659">
        <f>SUMIF(InvoicesInput!A$15:A$24, A659, InvoicesInput!B$15:B$24)</f>
        <v>0</v>
      </c>
      <c r="G659">
        <f t="shared" si="10"/>
        <v>0</v>
      </c>
    </row>
    <row r="660" spans="6:7" ht="15.75" customHeight="1">
      <c r="F660">
        <f>SUMIF(InvoicesInput!A$15:A$24, A660, InvoicesInput!B$15:B$24)</f>
        <v>0</v>
      </c>
      <c r="G660">
        <f t="shared" si="10"/>
        <v>0</v>
      </c>
    </row>
    <row r="661" spans="6:7" ht="15.75" customHeight="1">
      <c r="F661">
        <f>SUMIF(InvoicesInput!A$15:A$24, A661, InvoicesInput!B$15:B$24)</f>
        <v>0</v>
      </c>
      <c r="G661">
        <f t="shared" si="10"/>
        <v>0</v>
      </c>
    </row>
    <row r="662" spans="6:7" ht="15.75" customHeight="1">
      <c r="F662">
        <f>SUMIF(InvoicesInput!A$15:A$24, A662, InvoicesInput!B$15:B$24)</f>
        <v>0</v>
      </c>
      <c r="G662">
        <f t="shared" si="10"/>
        <v>0</v>
      </c>
    </row>
    <row r="663" spans="6:7" ht="15.75" customHeight="1">
      <c r="F663">
        <f>SUMIF(InvoicesInput!A$15:A$24, A663, InvoicesInput!B$15:B$24)</f>
        <v>0</v>
      </c>
      <c r="G663">
        <f t="shared" si="10"/>
        <v>0</v>
      </c>
    </row>
    <row r="664" spans="6:7" ht="15.75" customHeight="1">
      <c r="F664">
        <f>SUMIF(InvoicesInput!A$15:A$24, A664, InvoicesInput!B$15:B$24)</f>
        <v>0</v>
      </c>
      <c r="G664">
        <f t="shared" si="10"/>
        <v>0</v>
      </c>
    </row>
    <row r="665" spans="6:7" ht="15.75" customHeight="1">
      <c r="F665">
        <f>SUMIF(InvoicesInput!A$15:A$24, A665, InvoicesInput!B$15:B$24)</f>
        <v>0</v>
      </c>
      <c r="G665">
        <f t="shared" si="10"/>
        <v>0</v>
      </c>
    </row>
    <row r="666" spans="6:7" ht="15.75" customHeight="1">
      <c r="F666">
        <f>SUMIF(InvoicesInput!A$15:A$24, A666, InvoicesInput!B$15:B$24)</f>
        <v>0</v>
      </c>
      <c r="G666">
        <f t="shared" si="10"/>
        <v>0</v>
      </c>
    </row>
    <row r="667" spans="6:7" ht="15.75" customHeight="1">
      <c r="F667">
        <f>SUMIF(InvoicesInput!A$15:A$24, A667, InvoicesInput!B$15:B$24)</f>
        <v>0</v>
      </c>
      <c r="G667">
        <f t="shared" si="10"/>
        <v>0</v>
      </c>
    </row>
    <row r="668" spans="6:7" ht="15.75" customHeight="1">
      <c r="F668">
        <f>SUMIF(InvoicesInput!A$15:A$24, A668, InvoicesInput!B$15:B$24)</f>
        <v>0</v>
      </c>
      <c r="G668">
        <f t="shared" si="10"/>
        <v>0</v>
      </c>
    </row>
    <row r="669" spans="6:7" ht="15.75" customHeight="1">
      <c r="F669">
        <f>SUMIF(InvoicesInput!A$15:A$24, A669, InvoicesInput!B$15:B$24)</f>
        <v>0</v>
      </c>
      <c r="G669">
        <f t="shared" si="10"/>
        <v>0</v>
      </c>
    </row>
    <row r="670" spans="6:7" ht="15.75" customHeight="1">
      <c r="F670">
        <f>SUMIF(InvoicesInput!A$15:A$24, A670, InvoicesInput!B$15:B$24)</f>
        <v>0</v>
      </c>
      <c r="G670">
        <f t="shared" si="10"/>
        <v>0</v>
      </c>
    </row>
    <row r="671" spans="6:7" ht="15.75" customHeight="1">
      <c r="F671">
        <f>SUMIF(InvoicesInput!A$15:A$24, A671, InvoicesInput!B$15:B$24)</f>
        <v>0</v>
      </c>
      <c r="G671">
        <f t="shared" si="10"/>
        <v>0</v>
      </c>
    </row>
    <row r="672" spans="6:7" ht="15.75" customHeight="1">
      <c r="F672">
        <f>SUMIF(InvoicesInput!A$15:A$24, A672, InvoicesInput!B$15:B$24)</f>
        <v>0</v>
      </c>
      <c r="G672">
        <f t="shared" si="10"/>
        <v>0</v>
      </c>
    </row>
    <row r="673" spans="6:7" ht="15.75" customHeight="1">
      <c r="F673">
        <f>SUMIF(InvoicesInput!A$15:A$24, A673, InvoicesInput!B$15:B$24)</f>
        <v>0</v>
      </c>
      <c r="G673">
        <f t="shared" si="10"/>
        <v>0</v>
      </c>
    </row>
    <row r="674" spans="6:7" ht="15.75" customHeight="1">
      <c r="F674">
        <f>SUMIF(InvoicesInput!A$15:A$24, A674, InvoicesInput!B$15:B$24)</f>
        <v>0</v>
      </c>
      <c r="G674">
        <f t="shared" si="10"/>
        <v>0</v>
      </c>
    </row>
    <row r="675" spans="6:7" ht="15.75" customHeight="1">
      <c r="F675">
        <f>SUMIF(InvoicesInput!A$15:A$24, A675, InvoicesInput!B$15:B$24)</f>
        <v>0</v>
      </c>
      <c r="G675">
        <f t="shared" si="10"/>
        <v>0</v>
      </c>
    </row>
    <row r="676" spans="6:7" ht="15.75" customHeight="1">
      <c r="F676">
        <f>SUMIF(InvoicesInput!A$15:A$24, A676, InvoicesInput!B$15:B$24)</f>
        <v>0</v>
      </c>
      <c r="G676">
        <f t="shared" si="10"/>
        <v>0</v>
      </c>
    </row>
    <row r="677" spans="6:7" ht="15.75" customHeight="1">
      <c r="F677">
        <f>SUMIF(InvoicesInput!A$15:A$24, A677, InvoicesInput!B$15:B$24)</f>
        <v>0</v>
      </c>
      <c r="G677">
        <f t="shared" si="10"/>
        <v>0</v>
      </c>
    </row>
    <row r="678" spans="6:7" ht="15.75" customHeight="1">
      <c r="F678">
        <f>SUMIF(InvoicesInput!A$15:A$24, A678, InvoicesInput!B$15:B$24)</f>
        <v>0</v>
      </c>
      <c r="G678">
        <f t="shared" si="10"/>
        <v>0</v>
      </c>
    </row>
    <row r="679" spans="6:7" ht="15.75" customHeight="1">
      <c r="F679">
        <f>SUMIF(InvoicesInput!A$15:A$24, A679, InvoicesInput!B$15:B$24)</f>
        <v>0</v>
      </c>
      <c r="G679">
        <f t="shared" si="10"/>
        <v>0</v>
      </c>
    </row>
    <row r="680" spans="6:7" ht="15.75" customHeight="1">
      <c r="F680">
        <f>SUMIF(InvoicesInput!A$15:A$24, A680, InvoicesInput!B$15:B$24)</f>
        <v>0</v>
      </c>
      <c r="G680">
        <f t="shared" si="10"/>
        <v>0</v>
      </c>
    </row>
    <row r="681" spans="6:7" ht="15.75" customHeight="1">
      <c r="F681">
        <f>SUMIF(InvoicesInput!A$15:A$24, A681, InvoicesInput!B$15:B$24)</f>
        <v>0</v>
      </c>
      <c r="G681">
        <f t="shared" si="10"/>
        <v>0</v>
      </c>
    </row>
    <row r="682" spans="6:7" ht="15.75" customHeight="1">
      <c r="F682">
        <f>SUMIF(InvoicesInput!A$15:A$24, A682, InvoicesInput!B$15:B$24)</f>
        <v>0</v>
      </c>
      <c r="G682">
        <f t="shared" si="10"/>
        <v>0</v>
      </c>
    </row>
    <row r="683" spans="6:7" ht="15.75" customHeight="1">
      <c r="F683">
        <f>SUMIF(InvoicesInput!A$15:A$24, A683, InvoicesInput!B$15:B$24)</f>
        <v>0</v>
      </c>
      <c r="G683">
        <f t="shared" si="10"/>
        <v>0</v>
      </c>
    </row>
    <row r="684" spans="6:7" ht="15.75" customHeight="1">
      <c r="F684">
        <f>SUMIF(InvoicesInput!A$15:A$24, A684, InvoicesInput!B$15:B$24)</f>
        <v>0</v>
      </c>
      <c r="G684">
        <f t="shared" si="10"/>
        <v>0</v>
      </c>
    </row>
    <row r="685" spans="6:7" ht="15.75" customHeight="1">
      <c r="F685">
        <f>SUMIF(InvoicesInput!A$15:A$24, A685, InvoicesInput!B$15:B$24)</f>
        <v>0</v>
      </c>
      <c r="G685">
        <f t="shared" si="10"/>
        <v>0</v>
      </c>
    </row>
    <row r="686" spans="6:7" ht="15.75" customHeight="1">
      <c r="F686">
        <f>SUMIF(InvoicesInput!A$15:A$24, A686, InvoicesInput!B$15:B$24)</f>
        <v>0</v>
      </c>
      <c r="G686">
        <f t="shared" si="10"/>
        <v>0</v>
      </c>
    </row>
    <row r="687" spans="6:7" ht="15.75" customHeight="1">
      <c r="F687">
        <f>SUMIF(InvoicesInput!A$15:A$24, A687, InvoicesInput!B$15:B$24)</f>
        <v>0</v>
      </c>
      <c r="G687">
        <f t="shared" si="10"/>
        <v>0</v>
      </c>
    </row>
    <row r="688" spans="6:7" ht="15.75" customHeight="1">
      <c r="F688">
        <f>SUMIF(InvoicesInput!A$15:A$24, A688, InvoicesInput!B$15:B$24)</f>
        <v>0</v>
      </c>
      <c r="G688">
        <f t="shared" si="10"/>
        <v>0</v>
      </c>
    </row>
    <row r="689" spans="6:7" ht="15.75" customHeight="1">
      <c r="F689">
        <f>SUMIF(InvoicesInput!A$15:A$24, A689, InvoicesInput!B$15:B$24)</f>
        <v>0</v>
      </c>
      <c r="G689">
        <f t="shared" si="10"/>
        <v>0</v>
      </c>
    </row>
    <row r="690" spans="6:7" ht="15.75" customHeight="1">
      <c r="F690">
        <f>SUMIF(InvoicesInput!A$15:A$24, A690, InvoicesInput!B$15:B$24)</f>
        <v>0</v>
      </c>
      <c r="G690">
        <f t="shared" si="10"/>
        <v>0</v>
      </c>
    </row>
    <row r="691" spans="6:7" ht="15.75" customHeight="1">
      <c r="F691">
        <f>SUMIF(InvoicesInput!A$15:A$24, A691, InvoicesInput!B$15:B$24)</f>
        <v>0</v>
      </c>
      <c r="G691">
        <f t="shared" si="10"/>
        <v>0</v>
      </c>
    </row>
    <row r="692" spans="6:7" ht="15.75" customHeight="1">
      <c r="F692">
        <f>SUMIF(InvoicesInput!A$15:A$24, A692, InvoicesInput!B$15:B$24)</f>
        <v>0</v>
      </c>
      <c r="G692">
        <f t="shared" si="10"/>
        <v>0</v>
      </c>
    </row>
    <row r="693" spans="6:7" ht="15.75" customHeight="1">
      <c r="F693">
        <f>SUMIF(InvoicesInput!A$15:A$24, A693, InvoicesInput!B$15:B$24)</f>
        <v>0</v>
      </c>
      <c r="G693">
        <f t="shared" si="10"/>
        <v>0</v>
      </c>
    </row>
    <row r="694" spans="6:7" ht="15.75" customHeight="1">
      <c r="F694">
        <f>SUMIF(InvoicesInput!A$15:A$24, A694, InvoicesInput!B$15:B$24)</f>
        <v>0</v>
      </c>
      <c r="G694">
        <f t="shared" si="10"/>
        <v>0</v>
      </c>
    </row>
    <row r="695" spans="6:7" ht="15.75" customHeight="1">
      <c r="F695">
        <f>SUMIF(InvoicesInput!A$15:A$24, A695, InvoicesInput!B$15:B$24)</f>
        <v>0</v>
      </c>
      <c r="G695">
        <f t="shared" si="10"/>
        <v>0</v>
      </c>
    </row>
    <row r="696" spans="6:7" ht="15.75" customHeight="1">
      <c r="F696">
        <f>SUMIF(InvoicesInput!A$15:A$24, A696, InvoicesInput!B$15:B$24)</f>
        <v>0</v>
      </c>
      <c r="G696">
        <f t="shared" si="10"/>
        <v>0</v>
      </c>
    </row>
    <row r="697" spans="6:7" ht="15.75" customHeight="1">
      <c r="F697">
        <f>SUMIF(InvoicesInput!A$15:A$24, A697, InvoicesInput!B$15:B$24)</f>
        <v>0</v>
      </c>
      <c r="G697">
        <f t="shared" si="10"/>
        <v>0</v>
      </c>
    </row>
    <row r="698" spans="6:7" ht="15.75" customHeight="1">
      <c r="F698">
        <f>SUMIF(InvoicesInput!A$15:A$24, A698, InvoicesInput!B$15:B$24)</f>
        <v>0</v>
      </c>
      <c r="G698">
        <f t="shared" si="10"/>
        <v>0</v>
      </c>
    </row>
    <row r="699" spans="6:7" ht="15.75" customHeight="1">
      <c r="F699">
        <f>SUMIF(InvoicesInput!A$15:A$24, A699, InvoicesInput!B$15:B$24)</f>
        <v>0</v>
      </c>
      <c r="G699">
        <f t="shared" si="10"/>
        <v>0</v>
      </c>
    </row>
    <row r="700" spans="6:7" ht="15.75" customHeight="1">
      <c r="F700">
        <f>SUMIF(InvoicesInput!A$15:A$24, A700, InvoicesInput!B$15:B$24)</f>
        <v>0</v>
      </c>
      <c r="G700">
        <f t="shared" si="10"/>
        <v>0</v>
      </c>
    </row>
    <row r="701" spans="6:7" ht="15.75" customHeight="1">
      <c r="F701">
        <f>SUMIF(InvoicesInput!A$15:A$24, A701, InvoicesInput!B$15:B$24)</f>
        <v>0</v>
      </c>
      <c r="G701">
        <f t="shared" si="10"/>
        <v>0</v>
      </c>
    </row>
    <row r="702" spans="6:7" ht="15.75" customHeight="1">
      <c r="F702">
        <f>SUMIF(InvoicesInput!A$15:A$24, A702, InvoicesInput!B$15:B$24)</f>
        <v>0</v>
      </c>
      <c r="G702">
        <f t="shared" si="10"/>
        <v>0</v>
      </c>
    </row>
    <row r="703" spans="6:7" ht="15.75" customHeight="1">
      <c r="F703">
        <f>SUMIF(InvoicesInput!A$15:A$24, A703, InvoicesInput!B$15:B$24)</f>
        <v>0</v>
      </c>
      <c r="G703">
        <f t="shared" si="10"/>
        <v>0</v>
      </c>
    </row>
    <row r="704" spans="6:7" ht="15.75" customHeight="1">
      <c r="F704">
        <f>SUMIF(InvoicesInput!A$15:A$24, A704, InvoicesInput!B$15:B$24)</f>
        <v>0</v>
      </c>
      <c r="G704">
        <f t="shared" si="10"/>
        <v>0</v>
      </c>
    </row>
    <row r="705" spans="6:7" ht="15.75" customHeight="1">
      <c r="F705">
        <f>SUMIF(InvoicesInput!A$15:A$24, A705, InvoicesInput!B$15:B$24)</f>
        <v>0</v>
      </c>
      <c r="G705">
        <f t="shared" si="10"/>
        <v>0</v>
      </c>
    </row>
    <row r="706" spans="6:7" ht="15.75" customHeight="1">
      <c r="F706">
        <f>SUMIF(InvoicesInput!A$15:A$24, A706, InvoicesInput!B$15:B$24)</f>
        <v>0</v>
      </c>
      <c r="G706">
        <f t="shared" si="10"/>
        <v>0</v>
      </c>
    </row>
    <row r="707" spans="6:7" ht="15.75" customHeight="1">
      <c r="F707">
        <f>SUMIF(InvoicesInput!A$15:A$24, A707, InvoicesInput!B$15:B$24)</f>
        <v>0</v>
      </c>
      <c r="G707">
        <f t="shared" ref="G707:G770" si="11">B707 - F707</f>
        <v>0</v>
      </c>
    </row>
    <row r="708" spans="6:7" ht="15.75" customHeight="1">
      <c r="F708">
        <f>SUMIF(InvoicesInput!A$15:A$24, A708, InvoicesInput!B$15:B$24)</f>
        <v>0</v>
      </c>
      <c r="G708">
        <f t="shared" si="11"/>
        <v>0</v>
      </c>
    </row>
    <row r="709" spans="6:7" ht="15.75" customHeight="1">
      <c r="F709">
        <f>SUMIF(InvoicesInput!A$15:A$24, A709, InvoicesInput!B$15:B$24)</f>
        <v>0</v>
      </c>
      <c r="G709">
        <f t="shared" si="11"/>
        <v>0</v>
      </c>
    </row>
    <row r="710" spans="6:7" ht="15.75" customHeight="1">
      <c r="F710">
        <f>SUMIF(InvoicesInput!A$15:A$24, A710, InvoicesInput!B$15:B$24)</f>
        <v>0</v>
      </c>
      <c r="G710">
        <f t="shared" si="11"/>
        <v>0</v>
      </c>
    </row>
    <row r="711" spans="6:7" ht="15.75" customHeight="1">
      <c r="F711">
        <f>SUMIF(InvoicesInput!A$15:A$24, A711, InvoicesInput!B$15:B$24)</f>
        <v>0</v>
      </c>
      <c r="G711">
        <f t="shared" si="11"/>
        <v>0</v>
      </c>
    </row>
    <row r="712" spans="6:7" ht="15.75" customHeight="1">
      <c r="F712">
        <f>SUMIF(InvoicesInput!A$15:A$24, A712, InvoicesInput!B$15:B$24)</f>
        <v>0</v>
      </c>
      <c r="G712">
        <f t="shared" si="11"/>
        <v>0</v>
      </c>
    </row>
    <row r="713" spans="6:7" ht="15.75" customHeight="1">
      <c r="F713">
        <f>SUMIF(InvoicesInput!A$15:A$24, A713, InvoicesInput!B$15:B$24)</f>
        <v>0</v>
      </c>
      <c r="G713">
        <f t="shared" si="11"/>
        <v>0</v>
      </c>
    </row>
    <row r="714" spans="6:7" ht="15.75" customHeight="1">
      <c r="F714">
        <f>SUMIF(InvoicesInput!A$15:A$24, A714, InvoicesInput!B$15:B$24)</f>
        <v>0</v>
      </c>
      <c r="G714">
        <f t="shared" si="11"/>
        <v>0</v>
      </c>
    </row>
    <row r="715" spans="6:7" ht="15.75" customHeight="1">
      <c r="F715">
        <f>SUMIF(InvoicesInput!A$15:A$24, A715, InvoicesInput!B$15:B$24)</f>
        <v>0</v>
      </c>
      <c r="G715">
        <f t="shared" si="11"/>
        <v>0</v>
      </c>
    </row>
    <row r="716" spans="6:7" ht="15.75" customHeight="1">
      <c r="F716">
        <f>SUMIF(InvoicesInput!A$15:A$24, A716, InvoicesInput!B$15:B$24)</f>
        <v>0</v>
      </c>
      <c r="G716">
        <f t="shared" si="11"/>
        <v>0</v>
      </c>
    </row>
    <row r="717" spans="6:7" ht="15.75" customHeight="1">
      <c r="F717">
        <f>SUMIF(InvoicesInput!A$15:A$24, A717, InvoicesInput!B$15:B$24)</f>
        <v>0</v>
      </c>
      <c r="G717">
        <f t="shared" si="11"/>
        <v>0</v>
      </c>
    </row>
    <row r="718" spans="6:7" ht="15.75" customHeight="1">
      <c r="F718">
        <f>SUMIF(InvoicesInput!A$15:A$24, A718, InvoicesInput!B$15:B$24)</f>
        <v>0</v>
      </c>
      <c r="G718">
        <f t="shared" si="11"/>
        <v>0</v>
      </c>
    </row>
    <row r="719" spans="6:7" ht="15.75" customHeight="1">
      <c r="F719">
        <f>SUMIF(InvoicesInput!A$15:A$24, A719, InvoicesInput!B$15:B$24)</f>
        <v>0</v>
      </c>
      <c r="G719">
        <f t="shared" si="11"/>
        <v>0</v>
      </c>
    </row>
    <row r="720" spans="6:7" ht="15.75" customHeight="1">
      <c r="F720">
        <f>SUMIF(InvoicesInput!A$15:A$24, A720, InvoicesInput!B$15:B$24)</f>
        <v>0</v>
      </c>
      <c r="G720">
        <f t="shared" si="11"/>
        <v>0</v>
      </c>
    </row>
    <row r="721" spans="6:7" ht="15.75" customHeight="1">
      <c r="F721">
        <f>SUMIF(InvoicesInput!A$15:A$24, A721, InvoicesInput!B$15:B$24)</f>
        <v>0</v>
      </c>
      <c r="G721">
        <f t="shared" si="11"/>
        <v>0</v>
      </c>
    </row>
    <row r="722" spans="6:7" ht="15.75" customHeight="1">
      <c r="F722">
        <f>SUMIF(InvoicesInput!A$15:A$24, A722, InvoicesInput!B$15:B$24)</f>
        <v>0</v>
      </c>
      <c r="G722">
        <f t="shared" si="11"/>
        <v>0</v>
      </c>
    </row>
    <row r="723" spans="6:7" ht="15.75" customHeight="1">
      <c r="F723">
        <f>SUMIF(InvoicesInput!A$15:A$24, A723, InvoicesInput!B$15:B$24)</f>
        <v>0</v>
      </c>
      <c r="G723">
        <f t="shared" si="11"/>
        <v>0</v>
      </c>
    </row>
    <row r="724" spans="6:7" ht="15.75" customHeight="1">
      <c r="F724">
        <f>SUMIF(InvoicesInput!A$15:A$24, A724, InvoicesInput!B$15:B$24)</f>
        <v>0</v>
      </c>
      <c r="G724">
        <f t="shared" si="11"/>
        <v>0</v>
      </c>
    </row>
    <row r="725" spans="6:7" ht="15.75" customHeight="1">
      <c r="F725">
        <f>SUMIF(InvoicesInput!A$15:A$24, A725, InvoicesInput!B$15:B$24)</f>
        <v>0</v>
      </c>
      <c r="G725">
        <f t="shared" si="11"/>
        <v>0</v>
      </c>
    </row>
    <row r="726" spans="6:7" ht="15.75" customHeight="1">
      <c r="F726">
        <f>SUMIF(InvoicesInput!A$15:A$24, A726, InvoicesInput!B$15:B$24)</f>
        <v>0</v>
      </c>
      <c r="G726">
        <f t="shared" si="11"/>
        <v>0</v>
      </c>
    </row>
    <row r="727" spans="6:7" ht="15.75" customHeight="1">
      <c r="F727">
        <f>SUMIF(InvoicesInput!A$15:A$24, A727, InvoicesInput!B$15:B$24)</f>
        <v>0</v>
      </c>
      <c r="G727">
        <f t="shared" si="11"/>
        <v>0</v>
      </c>
    </row>
    <row r="728" spans="6:7" ht="15.75" customHeight="1">
      <c r="F728">
        <f>SUMIF(InvoicesInput!A$15:A$24, A728, InvoicesInput!B$15:B$24)</f>
        <v>0</v>
      </c>
      <c r="G728">
        <f t="shared" si="11"/>
        <v>0</v>
      </c>
    </row>
    <row r="729" spans="6:7" ht="15.75" customHeight="1">
      <c r="F729">
        <f>SUMIF(InvoicesInput!A$15:A$24, A729, InvoicesInput!B$15:B$24)</f>
        <v>0</v>
      </c>
      <c r="G729">
        <f t="shared" si="11"/>
        <v>0</v>
      </c>
    </row>
    <row r="730" spans="6:7" ht="15.75" customHeight="1">
      <c r="F730">
        <f>SUMIF(InvoicesInput!A$15:A$24, A730, InvoicesInput!B$15:B$24)</f>
        <v>0</v>
      </c>
      <c r="G730">
        <f t="shared" si="11"/>
        <v>0</v>
      </c>
    </row>
    <row r="731" spans="6:7" ht="15.75" customHeight="1">
      <c r="F731">
        <f>SUMIF(InvoicesInput!A$15:A$24, A731, InvoicesInput!B$15:B$24)</f>
        <v>0</v>
      </c>
      <c r="G731">
        <f t="shared" si="11"/>
        <v>0</v>
      </c>
    </row>
    <row r="732" spans="6:7" ht="15.75" customHeight="1">
      <c r="F732">
        <f>SUMIF(InvoicesInput!A$15:A$24, A732, InvoicesInput!B$15:B$24)</f>
        <v>0</v>
      </c>
      <c r="G732">
        <f t="shared" si="11"/>
        <v>0</v>
      </c>
    </row>
    <row r="733" spans="6:7" ht="15.75" customHeight="1">
      <c r="F733">
        <f>SUMIF(InvoicesInput!A$15:A$24, A733, InvoicesInput!B$15:B$24)</f>
        <v>0</v>
      </c>
      <c r="G733">
        <f t="shared" si="11"/>
        <v>0</v>
      </c>
    </row>
    <row r="734" spans="6:7" ht="15.75" customHeight="1">
      <c r="F734">
        <f>SUMIF(InvoicesInput!A$15:A$24, A734, InvoicesInput!B$15:B$24)</f>
        <v>0</v>
      </c>
      <c r="G734">
        <f t="shared" si="11"/>
        <v>0</v>
      </c>
    </row>
    <row r="735" spans="6:7" ht="15.75" customHeight="1">
      <c r="F735">
        <f>SUMIF(InvoicesInput!A$15:A$24, A735, InvoicesInput!B$15:B$24)</f>
        <v>0</v>
      </c>
      <c r="G735">
        <f t="shared" si="11"/>
        <v>0</v>
      </c>
    </row>
    <row r="736" spans="6:7" ht="15.75" customHeight="1">
      <c r="F736">
        <f>SUMIF(InvoicesInput!A$15:A$24, A736, InvoicesInput!B$15:B$24)</f>
        <v>0</v>
      </c>
      <c r="G736">
        <f t="shared" si="11"/>
        <v>0</v>
      </c>
    </row>
    <row r="737" spans="6:7" ht="15.75" customHeight="1">
      <c r="F737">
        <f>SUMIF(InvoicesInput!A$15:A$24, A737, InvoicesInput!B$15:B$24)</f>
        <v>0</v>
      </c>
      <c r="G737">
        <f t="shared" si="11"/>
        <v>0</v>
      </c>
    </row>
    <row r="738" spans="6:7" ht="15.75" customHeight="1">
      <c r="F738">
        <f>SUMIF(InvoicesInput!A$15:A$24, A738, InvoicesInput!B$15:B$24)</f>
        <v>0</v>
      </c>
      <c r="G738">
        <f t="shared" si="11"/>
        <v>0</v>
      </c>
    </row>
    <row r="739" spans="6:7" ht="15.75" customHeight="1">
      <c r="F739">
        <f>SUMIF(InvoicesInput!A$15:A$24, A739, InvoicesInput!B$15:B$24)</f>
        <v>0</v>
      </c>
      <c r="G739">
        <f t="shared" si="11"/>
        <v>0</v>
      </c>
    </row>
    <row r="740" spans="6:7" ht="15.75" customHeight="1">
      <c r="F740">
        <f>SUMIF(InvoicesInput!A$15:A$24, A740, InvoicesInput!B$15:B$24)</f>
        <v>0</v>
      </c>
      <c r="G740">
        <f t="shared" si="11"/>
        <v>0</v>
      </c>
    </row>
    <row r="741" spans="6:7" ht="15.75" customHeight="1">
      <c r="F741">
        <f>SUMIF(InvoicesInput!A$15:A$24, A741, InvoicesInput!B$15:B$24)</f>
        <v>0</v>
      </c>
      <c r="G741">
        <f t="shared" si="11"/>
        <v>0</v>
      </c>
    </row>
    <row r="742" spans="6:7" ht="15.75" customHeight="1">
      <c r="F742">
        <f>SUMIF(InvoicesInput!A$15:A$24, A742, InvoicesInput!B$15:B$24)</f>
        <v>0</v>
      </c>
      <c r="G742">
        <f t="shared" si="11"/>
        <v>0</v>
      </c>
    </row>
    <row r="743" spans="6:7" ht="15.75" customHeight="1">
      <c r="F743">
        <f>SUMIF(InvoicesInput!A$15:A$24, A743, InvoicesInput!B$15:B$24)</f>
        <v>0</v>
      </c>
      <c r="G743">
        <f t="shared" si="11"/>
        <v>0</v>
      </c>
    </row>
    <row r="744" spans="6:7" ht="15.75" customHeight="1">
      <c r="F744">
        <f>SUMIF(InvoicesInput!A$15:A$24, A744, InvoicesInput!B$15:B$24)</f>
        <v>0</v>
      </c>
      <c r="G744">
        <f t="shared" si="11"/>
        <v>0</v>
      </c>
    </row>
    <row r="745" spans="6:7" ht="15.75" customHeight="1">
      <c r="F745">
        <f>SUMIF(InvoicesInput!A$15:A$24, A745, InvoicesInput!B$15:B$24)</f>
        <v>0</v>
      </c>
      <c r="G745">
        <f t="shared" si="11"/>
        <v>0</v>
      </c>
    </row>
    <row r="746" spans="6:7" ht="15.75" customHeight="1">
      <c r="F746">
        <f>SUMIF(InvoicesInput!A$15:A$24, A746, InvoicesInput!B$15:B$24)</f>
        <v>0</v>
      </c>
      <c r="G746">
        <f t="shared" si="11"/>
        <v>0</v>
      </c>
    </row>
    <row r="747" spans="6:7" ht="15.75" customHeight="1">
      <c r="F747">
        <f>SUMIF(InvoicesInput!A$15:A$24, A747, InvoicesInput!B$15:B$24)</f>
        <v>0</v>
      </c>
      <c r="G747">
        <f t="shared" si="11"/>
        <v>0</v>
      </c>
    </row>
    <row r="748" spans="6:7" ht="15.75" customHeight="1">
      <c r="F748">
        <f>SUMIF(InvoicesInput!A$15:A$24, A748, InvoicesInput!B$15:B$24)</f>
        <v>0</v>
      </c>
      <c r="G748">
        <f t="shared" si="11"/>
        <v>0</v>
      </c>
    </row>
    <row r="749" spans="6:7" ht="15.75" customHeight="1">
      <c r="F749">
        <f>SUMIF(InvoicesInput!A$15:A$24, A749, InvoicesInput!B$15:B$24)</f>
        <v>0</v>
      </c>
      <c r="G749">
        <f t="shared" si="11"/>
        <v>0</v>
      </c>
    </row>
    <row r="750" spans="6:7" ht="15.75" customHeight="1">
      <c r="F750">
        <f>SUMIF(InvoicesInput!A$15:A$24, A750, InvoicesInput!B$15:B$24)</f>
        <v>0</v>
      </c>
      <c r="G750">
        <f t="shared" si="11"/>
        <v>0</v>
      </c>
    </row>
    <row r="751" spans="6:7" ht="15.75" customHeight="1">
      <c r="F751">
        <f>SUMIF(InvoicesInput!A$15:A$24, A751, InvoicesInput!B$15:B$24)</f>
        <v>0</v>
      </c>
      <c r="G751">
        <f t="shared" si="11"/>
        <v>0</v>
      </c>
    </row>
    <row r="752" spans="6:7" ht="15.75" customHeight="1">
      <c r="F752">
        <f>SUMIF(InvoicesInput!A$15:A$24, A752, InvoicesInput!B$15:B$24)</f>
        <v>0</v>
      </c>
      <c r="G752">
        <f t="shared" si="11"/>
        <v>0</v>
      </c>
    </row>
    <row r="753" spans="6:7" ht="15.75" customHeight="1">
      <c r="F753">
        <f>SUMIF(InvoicesInput!A$15:A$24, A753, InvoicesInput!B$15:B$24)</f>
        <v>0</v>
      </c>
      <c r="G753">
        <f t="shared" si="11"/>
        <v>0</v>
      </c>
    </row>
    <row r="754" spans="6:7" ht="15.75" customHeight="1">
      <c r="F754">
        <f>SUMIF(InvoicesInput!A$15:A$24, A754, InvoicesInput!B$15:B$24)</f>
        <v>0</v>
      </c>
      <c r="G754">
        <f t="shared" si="11"/>
        <v>0</v>
      </c>
    </row>
    <row r="755" spans="6:7" ht="15.75" customHeight="1">
      <c r="F755">
        <f>SUMIF(InvoicesInput!A$15:A$24, A755, InvoicesInput!B$15:B$24)</f>
        <v>0</v>
      </c>
      <c r="G755">
        <f t="shared" si="11"/>
        <v>0</v>
      </c>
    </row>
    <row r="756" spans="6:7" ht="15.75" customHeight="1">
      <c r="F756">
        <f>SUMIF(InvoicesInput!A$15:A$24, A756, InvoicesInput!B$15:B$24)</f>
        <v>0</v>
      </c>
      <c r="G756">
        <f t="shared" si="11"/>
        <v>0</v>
      </c>
    </row>
    <row r="757" spans="6:7" ht="15.75" customHeight="1">
      <c r="F757">
        <f>SUMIF(InvoicesInput!A$15:A$24, A757, InvoicesInput!B$15:B$24)</f>
        <v>0</v>
      </c>
      <c r="G757">
        <f t="shared" si="11"/>
        <v>0</v>
      </c>
    </row>
    <row r="758" spans="6:7" ht="15.75" customHeight="1">
      <c r="F758">
        <f>SUMIF(InvoicesInput!A$15:A$24, A758, InvoicesInput!B$15:B$24)</f>
        <v>0</v>
      </c>
      <c r="G758">
        <f t="shared" si="11"/>
        <v>0</v>
      </c>
    </row>
    <row r="759" spans="6:7" ht="15.75" customHeight="1">
      <c r="F759">
        <f>SUMIF(InvoicesInput!A$15:A$24, A759, InvoicesInput!B$15:B$24)</f>
        <v>0</v>
      </c>
      <c r="G759">
        <f t="shared" si="11"/>
        <v>0</v>
      </c>
    </row>
    <row r="760" spans="6:7" ht="15.75" customHeight="1">
      <c r="F760">
        <f>SUMIF(InvoicesInput!A$15:A$24, A760, InvoicesInput!B$15:B$24)</f>
        <v>0</v>
      </c>
      <c r="G760">
        <f t="shared" si="11"/>
        <v>0</v>
      </c>
    </row>
    <row r="761" spans="6:7" ht="15.75" customHeight="1">
      <c r="F761">
        <f>SUMIF(InvoicesInput!A$15:A$24, A761, InvoicesInput!B$15:B$24)</f>
        <v>0</v>
      </c>
      <c r="G761">
        <f t="shared" si="11"/>
        <v>0</v>
      </c>
    </row>
    <row r="762" spans="6:7" ht="15.75" customHeight="1">
      <c r="F762">
        <f>SUMIF(InvoicesInput!A$15:A$24, A762, InvoicesInput!B$15:B$24)</f>
        <v>0</v>
      </c>
      <c r="G762">
        <f t="shared" si="11"/>
        <v>0</v>
      </c>
    </row>
    <row r="763" spans="6:7" ht="15.75" customHeight="1">
      <c r="F763">
        <f>SUMIF(InvoicesInput!A$15:A$24, A763, InvoicesInput!B$15:B$24)</f>
        <v>0</v>
      </c>
      <c r="G763">
        <f t="shared" si="11"/>
        <v>0</v>
      </c>
    </row>
    <row r="764" spans="6:7" ht="15.75" customHeight="1">
      <c r="F764">
        <f>SUMIF(InvoicesInput!A$15:A$24, A764, InvoicesInput!B$15:B$24)</f>
        <v>0</v>
      </c>
      <c r="G764">
        <f t="shared" si="11"/>
        <v>0</v>
      </c>
    </row>
    <row r="765" spans="6:7" ht="15.75" customHeight="1">
      <c r="F765">
        <f>SUMIF(InvoicesInput!A$15:A$24, A765, InvoicesInput!B$15:B$24)</f>
        <v>0</v>
      </c>
      <c r="G765">
        <f t="shared" si="11"/>
        <v>0</v>
      </c>
    </row>
    <row r="766" spans="6:7" ht="15.75" customHeight="1">
      <c r="F766">
        <f>SUMIF(InvoicesInput!A$15:A$24, A766, InvoicesInput!B$15:B$24)</f>
        <v>0</v>
      </c>
      <c r="G766">
        <f t="shared" si="11"/>
        <v>0</v>
      </c>
    </row>
    <row r="767" spans="6:7" ht="15.75" customHeight="1">
      <c r="F767">
        <f>SUMIF(InvoicesInput!A$15:A$24, A767, InvoicesInput!B$15:B$24)</f>
        <v>0</v>
      </c>
      <c r="G767">
        <f t="shared" si="11"/>
        <v>0</v>
      </c>
    </row>
    <row r="768" spans="6:7" ht="15.75" customHeight="1">
      <c r="F768">
        <f>SUMIF(InvoicesInput!A$15:A$24, A768, InvoicesInput!B$15:B$24)</f>
        <v>0</v>
      </c>
      <c r="G768">
        <f t="shared" si="11"/>
        <v>0</v>
      </c>
    </row>
    <row r="769" spans="6:7" ht="15.75" customHeight="1">
      <c r="F769">
        <f>SUMIF(InvoicesInput!A$15:A$24, A769, InvoicesInput!B$15:B$24)</f>
        <v>0</v>
      </c>
      <c r="G769">
        <f t="shared" si="11"/>
        <v>0</v>
      </c>
    </row>
    <row r="770" spans="6:7" ht="15.75" customHeight="1">
      <c r="F770">
        <f>SUMIF(InvoicesInput!A$15:A$24, A770, InvoicesInput!B$15:B$24)</f>
        <v>0</v>
      </c>
      <c r="G770">
        <f t="shared" si="11"/>
        <v>0</v>
      </c>
    </row>
    <row r="771" spans="6:7" ht="15.75" customHeight="1">
      <c r="F771">
        <f>SUMIF(InvoicesInput!A$15:A$24, A771, InvoicesInput!B$15:B$24)</f>
        <v>0</v>
      </c>
      <c r="G771">
        <f t="shared" ref="G771:G834" si="12">B771 - F771</f>
        <v>0</v>
      </c>
    </row>
    <row r="772" spans="6:7" ht="15.75" customHeight="1">
      <c r="F772">
        <f>SUMIF(InvoicesInput!A$15:A$24, A772, InvoicesInput!B$15:B$24)</f>
        <v>0</v>
      </c>
      <c r="G772">
        <f t="shared" si="12"/>
        <v>0</v>
      </c>
    </row>
    <row r="773" spans="6:7" ht="15.75" customHeight="1">
      <c r="F773">
        <f>SUMIF(InvoicesInput!A$15:A$24, A773, InvoicesInput!B$15:B$24)</f>
        <v>0</v>
      </c>
      <c r="G773">
        <f t="shared" si="12"/>
        <v>0</v>
      </c>
    </row>
    <row r="774" spans="6:7" ht="15.75" customHeight="1">
      <c r="F774">
        <f>SUMIF(InvoicesInput!A$15:A$24, A774, InvoicesInput!B$15:B$24)</f>
        <v>0</v>
      </c>
      <c r="G774">
        <f t="shared" si="12"/>
        <v>0</v>
      </c>
    </row>
    <row r="775" spans="6:7" ht="15.75" customHeight="1">
      <c r="F775">
        <f>SUMIF(InvoicesInput!A$15:A$24, A775, InvoicesInput!B$15:B$24)</f>
        <v>0</v>
      </c>
      <c r="G775">
        <f t="shared" si="12"/>
        <v>0</v>
      </c>
    </row>
    <row r="776" spans="6:7" ht="15.75" customHeight="1">
      <c r="F776">
        <f>SUMIF(InvoicesInput!A$15:A$24, A776, InvoicesInput!B$15:B$24)</f>
        <v>0</v>
      </c>
      <c r="G776">
        <f t="shared" si="12"/>
        <v>0</v>
      </c>
    </row>
    <row r="777" spans="6:7" ht="15.75" customHeight="1">
      <c r="F777">
        <f>SUMIF(InvoicesInput!A$15:A$24, A777, InvoicesInput!B$15:B$24)</f>
        <v>0</v>
      </c>
      <c r="G777">
        <f t="shared" si="12"/>
        <v>0</v>
      </c>
    </row>
    <row r="778" spans="6:7" ht="15.75" customHeight="1">
      <c r="F778">
        <f>SUMIF(InvoicesInput!A$15:A$24, A778, InvoicesInput!B$15:B$24)</f>
        <v>0</v>
      </c>
      <c r="G778">
        <f t="shared" si="12"/>
        <v>0</v>
      </c>
    </row>
    <row r="779" spans="6:7" ht="15.75" customHeight="1">
      <c r="F779">
        <f>SUMIF(InvoicesInput!A$15:A$24, A779, InvoicesInput!B$15:B$24)</f>
        <v>0</v>
      </c>
      <c r="G779">
        <f t="shared" si="12"/>
        <v>0</v>
      </c>
    </row>
    <row r="780" spans="6:7" ht="15.75" customHeight="1">
      <c r="F780">
        <f>SUMIF(InvoicesInput!A$15:A$24, A780, InvoicesInput!B$15:B$24)</f>
        <v>0</v>
      </c>
      <c r="G780">
        <f t="shared" si="12"/>
        <v>0</v>
      </c>
    </row>
    <row r="781" spans="6:7" ht="15.75" customHeight="1">
      <c r="F781">
        <f>SUMIF(InvoicesInput!A$15:A$24, A781, InvoicesInput!B$15:B$24)</f>
        <v>0</v>
      </c>
      <c r="G781">
        <f t="shared" si="12"/>
        <v>0</v>
      </c>
    </row>
    <row r="782" spans="6:7" ht="15.75" customHeight="1">
      <c r="F782">
        <f>SUMIF(InvoicesInput!A$15:A$24, A782, InvoicesInput!B$15:B$24)</f>
        <v>0</v>
      </c>
      <c r="G782">
        <f t="shared" si="12"/>
        <v>0</v>
      </c>
    </row>
    <row r="783" spans="6:7" ht="15.75" customHeight="1">
      <c r="F783">
        <f>SUMIF(InvoicesInput!A$15:A$24, A783, InvoicesInput!B$15:B$24)</f>
        <v>0</v>
      </c>
      <c r="G783">
        <f t="shared" si="12"/>
        <v>0</v>
      </c>
    </row>
    <row r="784" spans="6:7" ht="15.75" customHeight="1">
      <c r="F784">
        <f>SUMIF(InvoicesInput!A$15:A$24, A784, InvoicesInput!B$15:B$24)</f>
        <v>0</v>
      </c>
      <c r="G784">
        <f t="shared" si="12"/>
        <v>0</v>
      </c>
    </row>
    <row r="785" spans="6:7" ht="15.75" customHeight="1">
      <c r="F785">
        <f>SUMIF(InvoicesInput!A$15:A$24, A785, InvoicesInput!B$15:B$24)</f>
        <v>0</v>
      </c>
      <c r="G785">
        <f t="shared" si="12"/>
        <v>0</v>
      </c>
    </row>
    <row r="786" spans="6:7" ht="15.75" customHeight="1">
      <c r="F786">
        <f>SUMIF(InvoicesInput!A$15:A$24, A786, InvoicesInput!B$15:B$24)</f>
        <v>0</v>
      </c>
      <c r="G786">
        <f t="shared" si="12"/>
        <v>0</v>
      </c>
    </row>
    <row r="787" spans="6:7" ht="15.75" customHeight="1">
      <c r="F787">
        <f>SUMIF(InvoicesInput!A$15:A$24, A787, InvoicesInput!B$15:B$24)</f>
        <v>0</v>
      </c>
      <c r="G787">
        <f t="shared" si="12"/>
        <v>0</v>
      </c>
    </row>
    <row r="788" spans="6:7" ht="15.75" customHeight="1">
      <c r="F788">
        <f>SUMIF(InvoicesInput!A$15:A$24, A788, InvoicesInput!B$15:B$24)</f>
        <v>0</v>
      </c>
      <c r="G788">
        <f t="shared" si="12"/>
        <v>0</v>
      </c>
    </row>
    <row r="789" spans="6:7" ht="15.75" customHeight="1">
      <c r="F789">
        <f>SUMIF(InvoicesInput!A$15:A$24, A789, InvoicesInput!B$15:B$24)</f>
        <v>0</v>
      </c>
      <c r="G789">
        <f t="shared" si="12"/>
        <v>0</v>
      </c>
    </row>
    <row r="790" spans="6:7" ht="15.75" customHeight="1">
      <c r="F790">
        <f>SUMIF(InvoicesInput!A$15:A$24, A790, InvoicesInput!B$15:B$24)</f>
        <v>0</v>
      </c>
      <c r="G790">
        <f t="shared" si="12"/>
        <v>0</v>
      </c>
    </row>
    <row r="791" spans="6:7" ht="15.75" customHeight="1">
      <c r="F791">
        <f>SUMIF(InvoicesInput!A$15:A$24, A791, InvoicesInput!B$15:B$24)</f>
        <v>0</v>
      </c>
      <c r="G791">
        <f t="shared" si="12"/>
        <v>0</v>
      </c>
    </row>
    <row r="792" spans="6:7" ht="15.75" customHeight="1">
      <c r="F792">
        <f>SUMIF(InvoicesInput!A$15:A$24, A792, InvoicesInput!B$15:B$24)</f>
        <v>0</v>
      </c>
      <c r="G792">
        <f t="shared" si="12"/>
        <v>0</v>
      </c>
    </row>
    <row r="793" spans="6:7" ht="15.75" customHeight="1">
      <c r="F793">
        <f>SUMIF(InvoicesInput!A$15:A$24, A793, InvoicesInput!B$15:B$24)</f>
        <v>0</v>
      </c>
      <c r="G793">
        <f t="shared" si="12"/>
        <v>0</v>
      </c>
    </row>
    <row r="794" spans="6:7" ht="15.75" customHeight="1">
      <c r="F794">
        <f>SUMIF(InvoicesInput!A$15:A$24, A794, InvoicesInput!B$15:B$24)</f>
        <v>0</v>
      </c>
      <c r="G794">
        <f t="shared" si="12"/>
        <v>0</v>
      </c>
    </row>
    <row r="795" spans="6:7" ht="15.75" customHeight="1">
      <c r="F795">
        <f>SUMIF(InvoicesInput!A$15:A$24, A795, InvoicesInput!B$15:B$24)</f>
        <v>0</v>
      </c>
      <c r="G795">
        <f t="shared" si="12"/>
        <v>0</v>
      </c>
    </row>
    <row r="796" spans="6:7" ht="15.75" customHeight="1">
      <c r="F796">
        <f>SUMIF(InvoicesInput!A$15:A$24, A796, InvoicesInput!B$15:B$24)</f>
        <v>0</v>
      </c>
      <c r="G796">
        <f t="shared" si="12"/>
        <v>0</v>
      </c>
    </row>
    <row r="797" spans="6:7" ht="15.75" customHeight="1">
      <c r="F797">
        <f>SUMIF(InvoicesInput!A$15:A$24, A797, InvoicesInput!B$15:B$24)</f>
        <v>0</v>
      </c>
      <c r="G797">
        <f t="shared" si="12"/>
        <v>0</v>
      </c>
    </row>
    <row r="798" spans="6:7" ht="15.75" customHeight="1">
      <c r="F798">
        <f>SUMIF(InvoicesInput!A$15:A$24, A798, InvoicesInput!B$15:B$24)</f>
        <v>0</v>
      </c>
      <c r="G798">
        <f t="shared" si="12"/>
        <v>0</v>
      </c>
    </row>
    <row r="799" spans="6:7" ht="15.75" customHeight="1">
      <c r="F799">
        <f>SUMIF(InvoicesInput!A$15:A$24, A799, InvoicesInput!B$15:B$24)</f>
        <v>0</v>
      </c>
      <c r="G799">
        <f t="shared" si="12"/>
        <v>0</v>
      </c>
    </row>
    <row r="800" spans="6:7" ht="15.75" customHeight="1">
      <c r="F800">
        <f>SUMIF(InvoicesInput!A$15:A$24, A800, InvoicesInput!B$15:B$24)</f>
        <v>0</v>
      </c>
      <c r="G800">
        <f t="shared" si="12"/>
        <v>0</v>
      </c>
    </row>
    <row r="801" spans="6:7" ht="15.75" customHeight="1">
      <c r="F801">
        <f>SUMIF(InvoicesInput!A$15:A$24, A801, InvoicesInput!B$15:B$24)</f>
        <v>0</v>
      </c>
      <c r="G801">
        <f t="shared" si="12"/>
        <v>0</v>
      </c>
    </row>
    <row r="802" spans="6:7" ht="15.75" customHeight="1">
      <c r="F802">
        <f>SUMIF(InvoicesInput!A$15:A$24, A802, InvoicesInput!B$15:B$24)</f>
        <v>0</v>
      </c>
      <c r="G802">
        <f t="shared" si="12"/>
        <v>0</v>
      </c>
    </row>
    <row r="803" spans="6:7" ht="15.75" customHeight="1">
      <c r="F803">
        <f>SUMIF(InvoicesInput!A$15:A$24, A803, InvoicesInput!B$15:B$24)</f>
        <v>0</v>
      </c>
      <c r="G803">
        <f t="shared" si="12"/>
        <v>0</v>
      </c>
    </row>
    <row r="804" spans="6:7" ht="15.75" customHeight="1">
      <c r="F804">
        <f>SUMIF(InvoicesInput!A$15:A$24, A804, InvoicesInput!B$15:B$24)</f>
        <v>0</v>
      </c>
      <c r="G804">
        <f t="shared" si="12"/>
        <v>0</v>
      </c>
    </row>
    <row r="805" spans="6:7" ht="15.75" customHeight="1">
      <c r="F805">
        <f>SUMIF(InvoicesInput!A$15:A$24, A805, InvoicesInput!B$15:B$24)</f>
        <v>0</v>
      </c>
      <c r="G805">
        <f t="shared" si="12"/>
        <v>0</v>
      </c>
    </row>
    <row r="806" spans="6:7" ht="15.75" customHeight="1">
      <c r="F806">
        <f>SUMIF(InvoicesInput!A$15:A$24, A806, InvoicesInput!B$15:B$24)</f>
        <v>0</v>
      </c>
      <c r="G806">
        <f t="shared" si="12"/>
        <v>0</v>
      </c>
    </row>
    <row r="807" spans="6:7" ht="15.75" customHeight="1">
      <c r="F807">
        <f>SUMIF(InvoicesInput!A$15:A$24, A807, InvoicesInput!B$15:B$24)</f>
        <v>0</v>
      </c>
      <c r="G807">
        <f t="shared" si="12"/>
        <v>0</v>
      </c>
    </row>
    <row r="808" spans="6:7" ht="15.75" customHeight="1">
      <c r="F808">
        <f>SUMIF(InvoicesInput!A$15:A$24, A808, InvoicesInput!B$15:B$24)</f>
        <v>0</v>
      </c>
      <c r="G808">
        <f t="shared" si="12"/>
        <v>0</v>
      </c>
    </row>
    <row r="809" spans="6:7" ht="15.75" customHeight="1">
      <c r="F809">
        <f>SUMIF(InvoicesInput!A$15:A$24, A809, InvoicesInput!B$15:B$24)</f>
        <v>0</v>
      </c>
      <c r="G809">
        <f t="shared" si="12"/>
        <v>0</v>
      </c>
    </row>
    <row r="810" spans="6:7" ht="15.75" customHeight="1">
      <c r="F810">
        <f>SUMIF(InvoicesInput!A$15:A$24, A810, InvoicesInput!B$15:B$24)</f>
        <v>0</v>
      </c>
      <c r="G810">
        <f t="shared" si="12"/>
        <v>0</v>
      </c>
    </row>
    <row r="811" spans="6:7" ht="15.75" customHeight="1">
      <c r="F811">
        <f>SUMIF(InvoicesInput!A$15:A$24, A811, InvoicesInput!B$15:B$24)</f>
        <v>0</v>
      </c>
      <c r="G811">
        <f t="shared" si="12"/>
        <v>0</v>
      </c>
    </row>
    <row r="812" spans="6:7" ht="15.75" customHeight="1">
      <c r="F812">
        <f>SUMIF(InvoicesInput!A$15:A$24, A812, InvoicesInput!B$15:B$24)</f>
        <v>0</v>
      </c>
      <c r="G812">
        <f t="shared" si="12"/>
        <v>0</v>
      </c>
    </row>
    <row r="813" spans="6:7" ht="15.75" customHeight="1">
      <c r="F813">
        <f>SUMIF(InvoicesInput!A$15:A$24, A813, InvoicesInput!B$15:B$24)</f>
        <v>0</v>
      </c>
      <c r="G813">
        <f t="shared" si="12"/>
        <v>0</v>
      </c>
    </row>
    <row r="814" spans="6:7" ht="15.75" customHeight="1">
      <c r="F814">
        <f>SUMIF(InvoicesInput!A$15:A$24, A814, InvoicesInput!B$15:B$24)</f>
        <v>0</v>
      </c>
      <c r="G814">
        <f t="shared" si="12"/>
        <v>0</v>
      </c>
    </row>
    <row r="815" spans="6:7" ht="15.75" customHeight="1">
      <c r="F815">
        <f>SUMIF(InvoicesInput!A$15:A$24, A815, InvoicesInput!B$15:B$24)</f>
        <v>0</v>
      </c>
      <c r="G815">
        <f t="shared" si="12"/>
        <v>0</v>
      </c>
    </row>
    <row r="816" spans="6:7" ht="15.75" customHeight="1">
      <c r="F816">
        <f>SUMIF(InvoicesInput!A$15:A$24, A816, InvoicesInput!B$15:B$24)</f>
        <v>0</v>
      </c>
      <c r="G816">
        <f t="shared" si="12"/>
        <v>0</v>
      </c>
    </row>
    <row r="817" spans="6:7" ht="15.75" customHeight="1">
      <c r="F817">
        <f>SUMIF(InvoicesInput!A$15:A$24, A817, InvoicesInput!B$15:B$24)</f>
        <v>0</v>
      </c>
      <c r="G817">
        <f t="shared" si="12"/>
        <v>0</v>
      </c>
    </row>
    <row r="818" spans="6:7" ht="15.75" customHeight="1">
      <c r="F818">
        <f>SUMIF(InvoicesInput!A$15:A$24, A818, InvoicesInput!B$15:B$24)</f>
        <v>0</v>
      </c>
      <c r="G818">
        <f t="shared" si="12"/>
        <v>0</v>
      </c>
    </row>
    <row r="819" spans="6:7" ht="15.75" customHeight="1">
      <c r="F819">
        <f>SUMIF(InvoicesInput!A$15:A$24, A819, InvoicesInput!B$15:B$24)</f>
        <v>0</v>
      </c>
      <c r="G819">
        <f t="shared" si="12"/>
        <v>0</v>
      </c>
    </row>
    <row r="820" spans="6:7" ht="15.75" customHeight="1">
      <c r="F820">
        <f>SUMIF(InvoicesInput!A$15:A$24, A820, InvoicesInput!B$15:B$24)</f>
        <v>0</v>
      </c>
      <c r="G820">
        <f t="shared" si="12"/>
        <v>0</v>
      </c>
    </row>
    <row r="821" spans="6:7" ht="15.75" customHeight="1">
      <c r="F821">
        <f>SUMIF(InvoicesInput!A$15:A$24, A821, InvoicesInput!B$15:B$24)</f>
        <v>0</v>
      </c>
      <c r="G821">
        <f t="shared" si="12"/>
        <v>0</v>
      </c>
    </row>
    <row r="822" spans="6:7" ht="15.75" customHeight="1">
      <c r="F822">
        <f>SUMIF(InvoicesInput!A$15:A$24, A822, InvoicesInput!B$15:B$24)</f>
        <v>0</v>
      </c>
      <c r="G822">
        <f t="shared" si="12"/>
        <v>0</v>
      </c>
    </row>
    <row r="823" spans="6:7" ht="15.75" customHeight="1">
      <c r="F823">
        <f>SUMIF(InvoicesInput!A$15:A$24, A823, InvoicesInput!B$15:B$24)</f>
        <v>0</v>
      </c>
      <c r="G823">
        <f t="shared" si="12"/>
        <v>0</v>
      </c>
    </row>
    <row r="824" spans="6:7" ht="15.75" customHeight="1">
      <c r="F824">
        <f>SUMIF(InvoicesInput!A$15:A$24, A824, InvoicesInput!B$15:B$24)</f>
        <v>0</v>
      </c>
      <c r="G824">
        <f t="shared" si="12"/>
        <v>0</v>
      </c>
    </row>
    <row r="825" spans="6:7" ht="15.75" customHeight="1">
      <c r="F825">
        <f>SUMIF(InvoicesInput!A$15:A$24, A825, InvoicesInput!B$15:B$24)</f>
        <v>0</v>
      </c>
      <c r="G825">
        <f t="shared" si="12"/>
        <v>0</v>
      </c>
    </row>
    <row r="826" spans="6:7" ht="15.75" customHeight="1">
      <c r="F826">
        <f>SUMIF(InvoicesInput!A$15:A$24, A826, InvoicesInput!B$15:B$24)</f>
        <v>0</v>
      </c>
      <c r="G826">
        <f t="shared" si="12"/>
        <v>0</v>
      </c>
    </row>
    <row r="827" spans="6:7" ht="15.75" customHeight="1">
      <c r="F827">
        <f>SUMIF(InvoicesInput!A$15:A$24, A827, InvoicesInput!B$15:B$24)</f>
        <v>0</v>
      </c>
      <c r="G827">
        <f t="shared" si="12"/>
        <v>0</v>
      </c>
    </row>
    <row r="828" spans="6:7" ht="15.75" customHeight="1">
      <c r="F828">
        <f>SUMIF(InvoicesInput!A$15:A$24, A828, InvoicesInput!B$15:B$24)</f>
        <v>0</v>
      </c>
      <c r="G828">
        <f t="shared" si="12"/>
        <v>0</v>
      </c>
    </row>
    <row r="829" spans="6:7" ht="15.75" customHeight="1">
      <c r="F829">
        <f>SUMIF(InvoicesInput!A$15:A$24, A829, InvoicesInput!B$15:B$24)</f>
        <v>0</v>
      </c>
      <c r="G829">
        <f t="shared" si="12"/>
        <v>0</v>
      </c>
    </row>
    <row r="830" spans="6:7" ht="15.75" customHeight="1">
      <c r="F830">
        <f>SUMIF(InvoicesInput!A$15:A$24, A830, InvoicesInput!B$15:B$24)</f>
        <v>0</v>
      </c>
      <c r="G830">
        <f t="shared" si="12"/>
        <v>0</v>
      </c>
    </row>
    <row r="831" spans="6:7" ht="15.75" customHeight="1">
      <c r="F831">
        <f>SUMIF(InvoicesInput!A$15:A$24, A831, InvoicesInput!B$15:B$24)</f>
        <v>0</v>
      </c>
      <c r="G831">
        <f t="shared" si="12"/>
        <v>0</v>
      </c>
    </row>
    <row r="832" spans="6:7" ht="15.75" customHeight="1">
      <c r="F832">
        <f>SUMIF(InvoicesInput!A$15:A$24, A832, InvoicesInput!B$15:B$24)</f>
        <v>0</v>
      </c>
      <c r="G832">
        <f t="shared" si="12"/>
        <v>0</v>
      </c>
    </row>
    <row r="833" spans="6:7" ht="15.75" customHeight="1">
      <c r="F833">
        <f>SUMIF(InvoicesInput!A$15:A$24, A833, InvoicesInput!B$15:B$24)</f>
        <v>0</v>
      </c>
      <c r="G833">
        <f t="shared" si="12"/>
        <v>0</v>
      </c>
    </row>
    <row r="834" spans="6:7" ht="15.75" customHeight="1">
      <c r="F834">
        <f>SUMIF(InvoicesInput!A$15:A$24, A834, InvoicesInput!B$15:B$24)</f>
        <v>0</v>
      </c>
      <c r="G834">
        <f t="shared" si="12"/>
        <v>0</v>
      </c>
    </row>
    <row r="835" spans="6:7" ht="15.75" customHeight="1">
      <c r="F835">
        <f>SUMIF(InvoicesInput!A$15:A$24, A835, InvoicesInput!B$15:B$24)</f>
        <v>0</v>
      </c>
      <c r="G835">
        <f t="shared" ref="G835:G898" si="13">B835 - F835</f>
        <v>0</v>
      </c>
    </row>
    <row r="836" spans="6:7" ht="15.75" customHeight="1">
      <c r="F836">
        <f>SUMIF(InvoicesInput!A$15:A$24, A836, InvoicesInput!B$15:B$24)</f>
        <v>0</v>
      </c>
      <c r="G836">
        <f t="shared" si="13"/>
        <v>0</v>
      </c>
    </row>
    <row r="837" spans="6:7" ht="15.75" customHeight="1">
      <c r="F837">
        <f>SUMIF(InvoicesInput!A$15:A$24, A837, InvoicesInput!B$15:B$24)</f>
        <v>0</v>
      </c>
      <c r="G837">
        <f t="shared" si="13"/>
        <v>0</v>
      </c>
    </row>
    <row r="838" spans="6:7" ht="15.75" customHeight="1">
      <c r="F838">
        <f>SUMIF(InvoicesInput!A$15:A$24, A838, InvoicesInput!B$15:B$24)</f>
        <v>0</v>
      </c>
      <c r="G838">
        <f t="shared" si="13"/>
        <v>0</v>
      </c>
    </row>
    <row r="839" spans="6:7" ht="15.75" customHeight="1">
      <c r="F839">
        <f>SUMIF(InvoicesInput!A$15:A$24, A839, InvoicesInput!B$15:B$24)</f>
        <v>0</v>
      </c>
      <c r="G839">
        <f t="shared" si="13"/>
        <v>0</v>
      </c>
    </row>
    <row r="840" spans="6:7" ht="15.75" customHeight="1">
      <c r="F840">
        <f>SUMIF(InvoicesInput!A$15:A$24, A840, InvoicesInput!B$15:B$24)</f>
        <v>0</v>
      </c>
      <c r="G840">
        <f t="shared" si="13"/>
        <v>0</v>
      </c>
    </row>
    <row r="841" spans="6:7" ht="15.75" customHeight="1">
      <c r="F841">
        <f>SUMIF(InvoicesInput!A$15:A$24, A841, InvoicesInput!B$15:B$24)</f>
        <v>0</v>
      </c>
      <c r="G841">
        <f t="shared" si="13"/>
        <v>0</v>
      </c>
    </row>
    <row r="842" spans="6:7" ht="15.75" customHeight="1">
      <c r="F842">
        <f>SUMIF(InvoicesInput!A$15:A$24, A842, InvoicesInput!B$15:B$24)</f>
        <v>0</v>
      </c>
      <c r="G842">
        <f t="shared" si="13"/>
        <v>0</v>
      </c>
    </row>
    <row r="843" spans="6:7" ht="15.75" customHeight="1">
      <c r="F843">
        <f>SUMIF(InvoicesInput!A$15:A$24, A843, InvoicesInput!B$15:B$24)</f>
        <v>0</v>
      </c>
      <c r="G843">
        <f t="shared" si="13"/>
        <v>0</v>
      </c>
    </row>
    <row r="844" spans="6:7" ht="15.75" customHeight="1">
      <c r="F844">
        <f>SUMIF(InvoicesInput!A$15:A$24, A844, InvoicesInput!B$15:B$24)</f>
        <v>0</v>
      </c>
      <c r="G844">
        <f t="shared" si="13"/>
        <v>0</v>
      </c>
    </row>
    <row r="845" spans="6:7" ht="15.75" customHeight="1">
      <c r="F845">
        <f>SUMIF(InvoicesInput!A$15:A$24, A845, InvoicesInput!B$15:B$24)</f>
        <v>0</v>
      </c>
      <c r="G845">
        <f t="shared" si="13"/>
        <v>0</v>
      </c>
    </row>
    <row r="846" spans="6:7" ht="15.75" customHeight="1">
      <c r="F846">
        <f>SUMIF(InvoicesInput!A$15:A$24, A846, InvoicesInput!B$15:B$24)</f>
        <v>0</v>
      </c>
      <c r="G846">
        <f t="shared" si="13"/>
        <v>0</v>
      </c>
    </row>
    <row r="847" spans="6:7" ht="15.75" customHeight="1">
      <c r="F847">
        <f>SUMIF(InvoicesInput!A$15:A$24, A847, InvoicesInput!B$15:B$24)</f>
        <v>0</v>
      </c>
      <c r="G847">
        <f t="shared" si="13"/>
        <v>0</v>
      </c>
    </row>
    <row r="848" spans="6:7" ht="15.75" customHeight="1">
      <c r="F848">
        <f>SUMIF(InvoicesInput!A$15:A$24, A848, InvoicesInput!B$15:B$24)</f>
        <v>0</v>
      </c>
      <c r="G848">
        <f t="shared" si="13"/>
        <v>0</v>
      </c>
    </row>
    <row r="849" spans="6:7" ht="15.75" customHeight="1">
      <c r="F849">
        <f>SUMIF(InvoicesInput!A$15:A$24, A849, InvoicesInput!B$15:B$24)</f>
        <v>0</v>
      </c>
      <c r="G849">
        <f t="shared" si="13"/>
        <v>0</v>
      </c>
    </row>
    <row r="850" spans="6:7" ht="15.75" customHeight="1">
      <c r="F850">
        <f>SUMIF(InvoicesInput!A$15:A$24, A850, InvoicesInput!B$15:B$24)</f>
        <v>0</v>
      </c>
      <c r="G850">
        <f t="shared" si="13"/>
        <v>0</v>
      </c>
    </row>
    <row r="851" spans="6:7" ht="15.75" customHeight="1">
      <c r="F851">
        <f>SUMIF(InvoicesInput!A$15:A$24, A851, InvoicesInput!B$15:B$24)</f>
        <v>0</v>
      </c>
      <c r="G851">
        <f t="shared" si="13"/>
        <v>0</v>
      </c>
    </row>
    <row r="852" spans="6:7" ht="15.75" customHeight="1">
      <c r="F852">
        <f>SUMIF(InvoicesInput!A$15:A$24, A852, InvoicesInput!B$15:B$24)</f>
        <v>0</v>
      </c>
      <c r="G852">
        <f t="shared" si="13"/>
        <v>0</v>
      </c>
    </row>
    <row r="853" spans="6:7" ht="15.75" customHeight="1">
      <c r="F853">
        <f>SUMIF(InvoicesInput!A$15:A$24, A853, InvoicesInput!B$15:B$24)</f>
        <v>0</v>
      </c>
      <c r="G853">
        <f t="shared" si="13"/>
        <v>0</v>
      </c>
    </row>
    <row r="854" spans="6:7" ht="15.75" customHeight="1">
      <c r="F854">
        <f>SUMIF(InvoicesInput!A$15:A$24, A854, InvoicesInput!B$15:B$24)</f>
        <v>0</v>
      </c>
      <c r="G854">
        <f t="shared" si="13"/>
        <v>0</v>
      </c>
    </row>
    <row r="855" spans="6:7" ht="15.75" customHeight="1">
      <c r="F855">
        <f>SUMIF(InvoicesInput!A$15:A$24, A855, InvoicesInput!B$15:B$24)</f>
        <v>0</v>
      </c>
      <c r="G855">
        <f t="shared" si="13"/>
        <v>0</v>
      </c>
    </row>
    <row r="856" spans="6:7" ht="15.75" customHeight="1">
      <c r="F856">
        <f>SUMIF(InvoicesInput!A$15:A$24, A856, InvoicesInput!B$15:B$24)</f>
        <v>0</v>
      </c>
      <c r="G856">
        <f t="shared" si="13"/>
        <v>0</v>
      </c>
    </row>
    <row r="857" spans="6:7" ht="15.75" customHeight="1">
      <c r="F857">
        <f>SUMIF(InvoicesInput!A$15:A$24, A857, InvoicesInput!B$15:B$24)</f>
        <v>0</v>
      </c>
      <c r="G857">
        <f t="shared" si="13"/>
        <v>0</v>
      </c>
    </row>
    <row r="858" spans="6:7" ht="15.75" customHeight="1">
      <c r="F858">
        <f>SUMIF(InvoicesInput!A$15:A$24, A858, InvoicesInput!B$15:B$24)</f>
        <v>0</v>
      </c>
      <c r="G858">
        <f t="shared" si="13"/>
        <v>0</v>
      </c>
    </row>
    <row r="859" spans="6:7" ht="15.75" customHeight="1">
      <c r="F859">
        <f>SUMIF(InvoicesInput!A$15:A$24, A859, InvoicesInput!B$15:B$24)</f>
        <v>0</v>
      </c>
      <c r="G859">
        <f t="shared" si="13"/>
        <v>0</v>
      </c>
    </row>
    <row r="860" spans="6:7" ht="15.75" customHeight="1">
      <c r="F860">
        <f>SUMIF(InvoicesInput!A$15:A$24, A860, InvoicesInput!B$15:B$24)</f>
        <v>0</v>
      </c>
      <c r="G860">
        <f t="shared" si="13"/>
        <v>0</v>
      </c>
    </row>
    <row r="861" spans="6:7" ht="15.75" customHeight="1">
      <c r="F861">
        <f>SUMIF(InvoicesInput!A$15:A$24, A861, InvoicesInput!B$15:B$24)</f>
        <v>0</v>
      </c>
      <c r="G861">
        <f t="shared" si="13"/>
        <v>0</v>
      </c>
    </row>
    <row r="862" spans="6:7" ht="15.75" customHeight="1">
      <c r="F862">
        <f>SUMIF(InvoicesInput!A$15:A$24, A862, InvoicesInput!B$15:B$24)</f>
        <v>0</v>
      </c>
      <c r="G862">
        <f t="shared" si="13"/>
        <v>0</v>
      </c>
    </row>
    <row r="863" spans="6:7" ht="15.75" customHeight="1">
      <c r="F863">
        <f>SUMIF(InvoicesInput!A$15:A$24, A863, InvoicesInput!B$15:B$24)</f>
        <v>0</v>
      </c>
      <c r="G863">
        <f t="shared" si="13"/>
        <v>0</v>
      </c>
    </row>
    <row r="864" spans="6:7" ht="15.75" customHeight="1">
      <c r="F864">
        <f>SUMIF(InvoicesInput!A$15:A$24, A864, InvoicesInput!B$15:B$24)</f>
        <v>0</v>
      </c>
      <c r="G864">
        <f t="shared" si="13"/>
        <v>0</v>
      </c>
    </row>
    <row r="865" spans="6:7" ht="15.75" customHeight="1">
      <c r="F865">
        <f>SUMIF(InvoicesInput!A$15:A$24, A865, InvoicesInput!B$15:B$24)</f>
        <v>0</v>
      </c>
      <c r="G865">
        <f t="shared" si="13"/>
        <v>0</v>
      </c>
    </row>
    <row r="866" spans="6:7" ht="15.75" customHeight="1">
      <c r="F866">
        <f>SUMIF(InvoicesInput!A$15:A$24, A866, InvoicesInput!B$15:B$24)</f>
        <v>0</v>
      </c>
      <c r="G866">
        <f t="shared" si="13"/>
        <v>0</v>
      </c>
    </row>
    <row r="867" spans="6:7" ht="15.75" customHeight="1">
      <c r="F867">
        <f>SUMIF(InvoicesInput!A$15:A$24, A867, InvoicesInput!B$15:B$24)</f>
        <v>0</v>
      </c>
      <c r="G867">
        <f t="shared" si="13"/>
        <v>0</v>
      </c>
    </row>
    <row r="868" spans="6:7" ht="15.75" customHeight="1">
      <c r="F868">
        <f>SUMIF(InvoicesInput!A$15:A$24, A868, InvoicesInput!B$15:B$24)</f>
        <v>0</v>
      </c>
      <c r="G868">
        <f t="shared" si="13"/>
        <v>0</v>
      </c>
    </row>
    <row r="869" spans="6:7" ht="15.75" customHeight="1">
      <c r="F869">
        <f>SUMIF(InvoicesInput!A$15:A$24, A869, InvoicesInput!B$15:B$24)</f>
        <v>0</v>
      </c>
      <c r="G869">
        <f t="shared" si="13"/>
        <v>0</v>
      </c>
    </row>
    <row r="870" spans="6:7" ht="15.75" customHeight="1">
      <c r="F870">
        <f>SUMIF(InvoicesInput!A$15:A$24, A870, InvoicesInput!B$15:B$24)</f>
        <v>0</v>
      </c>
      <c r="G870">
        <f t="shared" si="13"/>
        <v>0</v>
      </c>
    </row>
    <row r="871" spans="6:7" ht="15.75" customHeight="1">
      <c r="F871">
        <f>SUMIF(InvoicesInput!A$15:A$24, A871, InvoicesInput!B$15:B$24)</f>
        <v>0</v>
      </c>
      <c r="G871">
        <f t="shared" si="13"/>
        <v>0</v>
      </c>
    </row>
    <row r="872" spans="6:7" ht="15.75" customHeight="1">
      <c r="F872">
        <f>SUMIF(InvoicesInput!A$15:A$24, A872, InvoicesInput!B$15:B$24)</f>
        <v>0</v>
      </c>
      <c r="G872">
        <f t="shared" si="13"/>
        <v>0</v>
      </c>
    </row>
    <row r="873" spans="6:7" ht="15.75" customHeight="1">
      <c r="F873">
        <f>SUMIF(InvoicesInput!A$15:A$24, A873, InvoicesInput!B$15:B$24)</f>
        <v>0</v>
      </c>
      <c r="G873">
        <f t="shared" si="13"/>
        <v>0</v>
      </c>
    </row>
    <row r="874" spans="6:7" ht="15.75" customHeight="1">
      <c r="F874">
        <f>SUMIF(InvoicesInput!A$15:A$24, A874, InvoicesInput!B$15:B$24)</f>
        <v>0</v>
      </c>
      <c r="G874">
        <f t="shared" si="13"/>
        <v>0</v>
      </c>
    </row>
    <row r="875" spans="6:7" ht="15.75" customHeight="1">
      <c r="F875">
        <f>SUMIF(InvoicesInput!A$15:A$24, A875, InvoicesInput!B$15:B$24)</f>
        <v>0</v>
      </c>
      <c r="G875">
        <f t="shared" si="13"/>
        <v>0</v>
      </c>
    </row>
    <row r="876" spans="6:7" ht="15.75" customHeight="1">
      <c r="F876">
        <f>SUMIF(InvoicesInput!A$15:A$24, A876, InvoicesInput!B$15:B$24)</f>
        <v>0</v>
      </c>
      <c r="G876">
        <f t="shared" si="13"/>
        <v>0</v>
      </c>
    </row>
    <row r="877" spans="6:7" ht="15.75" customHeight="1">
      <c r="F877">
        <f>SUMIF(InvoicesInput!A$15:A$24, A877, InvoicesInput!B$15:B$24)</f>
        <v>0</v>
      </c>
      <c r="G877">
        <f t="shared" si="13"/>
        <v>0</v>
      </c>
    </row>
    <row r="878" spans="6:7" ht="15.75" customHeight="1">
      <c r="F878">
        <f>SUMIF(InvoicesInput!A$15:A$24, A878, InvoicesInput!B$15:B$24)</f>
        <v>0</v>
      </c>
      <c r="G878">
        <f t="shared" si="13"/>
        <v>0</v>
      </c>
    </row>
    <row r="879" spans="6:7" ht="15.75" customHeight="1">
      <c r="F879">
        <f>SUMIF(InvoicesInput!A$15:A$24, A879, InvoicesInput!B$15:B$24)</f>
        <v>0</v>
      </c>
      <c r="G879">
        <f t="shared" si="13"/>
        <v>0</v>
      </c>
    </row>
    <row r="880" spans="6:7" ht="15.75" customHeight="1">
      <c r="F880">
        <f>SUMIF(InvoicesInput!A$15:A$24, A880, InvoicesInput!B$15:B$24)</f>
        <v>0</v>
      </c>
      <c r="G880">
        <f t="shared" si="13"/>
        <v>0</v>
      </c>
    </row>
    <row r="881" spans="6:7" ht="15.75" customHeight="1">
      <c r="F881">
        <f>SUMIF(InvoicesInput!A$15:A$24, A881, InvoicesInput!B$15:B$24)</f>
        <v>0</v>
      </c>
      <c r="G881">
        <f t="shared" si="13"/>
        <v>0</v>
      </c>
    </row>
    <row r="882" spans="6:7" ht="15.75" customHeight="1">
      <c r="F882">
        <f>SUMIF(InvoicesInput!A$15:A$24, A882, InvoicesInput!B$15:B$24)</f>
        <v>0</v>
      </c>
      <c r="G882">
        <f t="shared" si="13"/>
        <v>0</v>
      </c>
    </row>
    <row r="883" spans="6:7" ht="15.75" customHeight="1">
      <c r="F883">
        <f>SUMIF(InvoicesInput!A$15:A$24, A883, InvoicesInput!B$15:B$24)</f>
        <v>0</v>
      </c>
      <c r="G883">
        <f t="shared" si="13"/>
        <v>0</v>
      </c>
    </row>
    <row r="884" spans="6:7" ht="15.75" customHeight="1">
      <c r="F884">
        <f>SUMIF(InvoicesInput!A$15:A$24, A884, InvoicesInput!B$15:B$24)</f>
        <v>0</v>
      </c>
      <c r="G884">
        <f t="shared" si="13"/>
        <v>0</v>
      </c>
    </row>
    <row r="885" spans="6:7" ht="15.75" customHeight="1">
      <c r="F885">
        <f>SUMIF(InvoicesInput!A$15:A$24, A885, InvoicesInput!B$15:B$24)</f>
        <v>0</v>
      </c>
      <c r="G885">
        <f t="shared" si="13"/>
        <v>0</v>
      </c>
    </row>
    <row r="886" spans="6:7" ht="15.75" customHeight="1">
      <c r="F886">
        <f>SUMIF(InvoicesInput!A$15:A$24, A886, InvoicesInput!B$15:B$24)</f>
        <v>0</v>
      </c>
      <c r="G886">
        <f t="shared" si="13"/>
        <v>0</v>
      </c>
    </row>
    <row r="887" spans="6:7" ht="15.75" customHeight="1">
      <c r="F887">
        <f>SUMIF(InvoicesInput!A$15:A$24, A887, InvoicesInput!B$15:B$24)</f>
        <v>0</v>
      </c>
      <c r="G887">
        <f t="shared" si="13"/>
        <v>0</v>
      </c>
    </row>
    <row r="888" spans="6:7" ht="15.75" customHeight="1">
      <c r="F888">
        <f>SUMIF(InvoicesInput!A$15:A$24, A888, InvoicesInput!B$15:B$24)</f>
        <v>0</v>
      </c>
      <c r="G888">
        <f t="shared" si="13"/>
        <v>0</v>
      </c>
    </row>
    <row r="889" spans="6:7" ht="15.75" customHeight="1">
      <c r="F889">
        <f>SUMIF(InvoicesInput!A$15:A$24, A889, InvoicesInput!B$15:B$24)</f>
        <v>0</v>
      </c>
      <c r="G889">
        <f t="shared" si="13"/>
        <v>0</v>
      </c>
    </row>
    <row r="890" spans="6:7" ht="15.75" customHeight="1">
      <c r="F890">
        <f>SUMIF(InvoicesInput!A$15:A$24, A890, InvoicesInput!B$15:B$24)</f>
        <v>0</v>
      </c>
      <c r="G890">
        <f t="shared" si="13"/>
        <v>0</v>
      </c>
    </row>
    <row r="891" spans="6:7" ht="15.75" customHeight="1">
      <c r="F891">
        <f>SUMIF(InvoicesInput!A$15:A$24, A891, InvoicesInput!B$15:B$24)</f>
        <v>0</v>
      </c>
      <c r="G891">
        <f t="shared" si="13"/>
        <v>0</v>
      </c>
    </row>
    <row r="892" spans="6:7" ht="15.75" customHeight="1">
      <c r="F892">
        <f>SUMIF(InvoicesInput!A$15:A$24, A892, InvoicesInput!B$15:B$24)</f>
        <v>0</v>
      </c>
      <c r="G892">
        <f t="shared" si="13"/>
        <v>0</v>
      </c>
    </row>
    <row r="893" spans="6:7" ht="15.75" customHeight="1">
      <c r="F893">
        <f>SUMIF(InvoicesInput!A$15:A$24, A893, InvoicesInput!B$15:B$24)</f>
        <v>0</v>
      </c>
      <c r="G893">
        <f t="shared" si="13"/>
        <v>0</v>
      </c>
    </row>
    <row r="894" spans="6:7" ht="15.75" customHeight="1">
      <c r="F894">
        <f>SUMIF(InvoicesInput!A$15:A$24, A894, InvoicesInput!B$15:B$24)</f>
        <v>0</v>
      </c>
      <c r="G894">
        <f t="shared" si="13"/>
        <v>0</v>
      </c>
    </row>
    <row r="895" spans="6:7" ht="15.75" customHeight="1">
      <c r="F895">
        <f>SUMIF(InvoicesInput!A$15:A$24, A895, InvoicesInput!B$15:B$24)</f>
        <v>0</v>
      </c>
      <c r="G895">
        <f t="shared" si="13"/>
        <v>0</v>
      </c>
    </row>
    <row r="896" spans="6:7" ht="15.75" customHeight="1">
      <c r="F896">
        <f>SUMIF(InvoicesInput!A$15:A$24, A896, InvoicesInput!B$15:B$24)</f>
        <v>0</v>
      </c>
      <c r="G896">
        <f t="shared" si="13"/>
        <v>0</v>
      </c>
    </row>
    <row r="897" spans="6:7" ht="15.75" customHeight="1">
      <c r="F897">
        <f>SUMIF(InvoicesInput!A$15:A$24, A897, InvoicesInput!B$15:B$24)</f>
        <v>0</v>
      </c>
      <c r="G897">
        <f t="shared" si="13"/>
        <v>0</v>
      </c>
    </row>
    <row r="898" spans="6:7" ht="15.75" customHeight="1">
      <c r="F898">
        <f>SUMIF(InvoicesInput!A$15:A$24, A898, InvoicesInput!B$15:B$24)</f>
        <v>0</v>
      </c>
      <c r="G898">
        <f t="shared" si="13"/>
        <v>0</v>
      </c>
    </row>
    <row r="899" spans="6:7" ht="15.75" customHeight="1">
      <c r="F899">
        <f>SUMIF(InvoicesInput!A$15:A$24, A899, InvoicesInput!B$15:B$24)</f>
        <v>0</v>
      </c>
      <c r="G899">
        <f t="shared" ref="G899:G962" si="14">B899 - F899</f>
        <v>0</v>
      </c>
    </row>
    <row r="900" spans="6:7" ht="15.75" customHeight="1">
      <c r="F900">
        <f>SUMIF(InvoicesInput!A$15:A$24, A900, InvoicesInput!B$15:B$24)</f>
        <v>0</v>
      </c>
      <c r="G900">
        <f t="shared" si="14"/>
        <v>0</v>
      </c>
    </row>
    <row r="901" spans="6:7" ht="15.75" customHeight="1">
      <c r="F901">
        <f>SUMIF(InvoicesInput!A$15:A$24, A901, InvoicesInput!B$15:B$24)</f>
        <v>0</v>
      </c>
      <c r="G901">
        <f t="shared" si="14"/>
        <v>0</v>
      </c>
    </row>
    <row r="902" spans="6:7" ht="15.75" customHeight="1">
      <c r="F902">
        <f>SUMIF(InvoicesInput!A$15:A$24, A902, InvoicesInput!B$15:B$24)</f>
        <v>0</v>
      </c>
      <c r="G902">
        <f t="shared" si="14"/>
        <v>0</v>
      </c>
    </row>
    <row r="903" spans="6:7" ht="15.75" customHeight="1">
      <c r="F903">
        <f>SUMIF(InvoicesInput!A$15:A$24, A903, InvoicesInput!B$15:B$24)</f>
        <v>0</v>
      </c>
      <c r="G903">
        <f t="shared" si="14"/>
        <v>0</v>
      </c>
    </row>
    <row r="904" spans="6:7" ht="15.75" customHeight="1">
      <c r="F904">
        <f>SUMIF(InvoicesInput!A$15:A$24, A904, InvoicesInput!B$15:B$24)</f>
        <v>0</v>
      </c>
      <c r="G904">
        <f t="shared" si="14"/>
        <v>0</v>
      </c>
    </row>
    <row r="905" spans="6:7" ht="15.75" customHeight="1">
      <c r="F905">
        <f>SUMIF(InvoicesInput!A$15:A$24, A905, InvoicesInput!B$15:B$24)</f>
        <v>0</v>
      </c>
      <c r="G905">
        <f t="shared" si="14"/>
        <v>0</v>
      </c>
    </row>
    <row r="906" spans="6:7" ht="15.75" customHeight="1">
      <c r="F906">
        <f>SUMIF(InvoicesInput!A$15:A$24, A906, InvoicesInput!B$15:B$24)</f>
        <v>0</v>
      </c>
      <c r="G906">
        <f t="shared" si="14"/>
        <v>0</v>
      </c>
    </row>
    <row r="907" spans="6:7" ht="15.75" customHeight="1">
      <c r="F907">
        <f>SUMIF(InvoicesInput!A$15:A$24, A907, InvoicesInput!B$15:B$24)</f>
        <v>0</v>
      </c>
      <c r="G907">
        <f t="shared" si="14"/>
        <v>0</v>
      </c>
    </row>
    <row r="908" spans="6:7" ht="15.75" customHeight="1">
      <c r="F908">
        <f>SUMIF(InvoicesInput!A$15:A$24, A908, InvoicesInput!B$15:B$24)</f>
        <v>0</v>
      </c>
      <c r="G908">
        <f t="shared" si="14"/>
        <v>0</v>
      </c>
    </row>
    <row r="909" spans="6:7" ht="15.75" customHeight="1">
      <c r="F909">
        <f>SUMIF(InvoicesInput!A$15:A$24, A909, InvoicesInput!B$15:B$24)</f>
        <v>0</v>
      </c>
      <c r="G909">
        <f t="shared" si="14"/>
        <v>0</v>
      </c>
    </row>
    <row r="910" spans="6:7" ht="15.75" customHeight="1">
      <c r="F910">
        <f>SUMIF(InvoicesInput!A$15:A$24, A910, InvoicesInput!B$15:B$24)</f>
        <v>0</v>
      </c>
      <c r="G910">
        <f t="shared" si="14"/>
        <v>0</v>
      </c>
    </row>
    <row r="911" spans="6:7" ht="15.75" customHeight="1">
      <c r="F911">
        <f>SUMIF(InvoicesInput!A$15:A$24, A911, InvoicesInput!B$15:B$24)</f>
        <v>0</v>
      </c>
      <c r="G911">
        <f t="shared" si="14"/>
        <v>0</v>
      </c>
    </row>
    <row r="912" spans="6:7" ht="15.75" customHeight="1">
      <c r="F912">
        <f>SUMIF(InvoicesInput!A$15:A$24, A912, InvoicesInput!B$15:B$24)</f>
        <v>0</v>
      </c>
      <c r="G912">
        <f t="shared" si="14"/>
        <v>0</v>
      </c>
    </row>
    <row r="913" spans="6:7" ht="15.75" customHeight="1">
      <c r="F913">
        <f>SUMIF(InvoicesInput!A$15:A$24, A913, InvoicesInput!B$15:B$24)</f>
        <v>0</v>
      </c>
      <c r="G913">
        <f t="shared" si="14"/>
        <v>0</v>
      </c>
    </row>
    <row r="914" spans="6:7" ht="15.75" customHeight="1">
      <c r="F914">
        <f>SUMIF(InvoicesInput!A$15:A$24, A914, InvoicesInput!B$15:B$24)</f>
        <v>0</v>
      </c>
      <c r="G914">
        <f t="shared" si="14"/>
        <v>0</v>
      </c>
    </row>
    <row r="915" spans="6:7" ht="15.75" customHeight="1">
      <c r="F915">
        <f>SUMIF(InvoicesInput!A$15:A$24, A915, InvoicesInput!B$15:B$24)</f>
        <v>0</v>
      </c>
      <c r="G915">
        <f t="shared" si="14"/>
        <v>0</v>
      </c>
    </row>
    <row r="916" spans="6:7" ht="15.75" customHeight="1">
      <c r="F916">
        <f>SUMIF(InvoicesInput!A$15:A$24, A916, InvoicesInput!B$15:B$24)</f>
        <v>0</v>
      </c>
      <c r="G916">
        <f t="shared" si="14"/>
        <v>0</v>
      </c>
    </row>
    <row r="917" spans="6:7" ht="15.75" customHeight="1">
      <c r="F917">
        <f>SUMIF(InvoicesInput!A$15:A$24, A917, InvoicesInput!B$15:B$24)</f>
        <v>0</v>
      </c>
      <c r="G917">
        <f t="shared" si="14"/>
        <v>0</v>
      </c>
    </row>
    <row r="918" spans="6:7" ht="15.75" customHeight="1">
      <c r="F918">
        <f>SUMIF(InvoicesInput!A$15:A$24, A918, InvoicesInput!B$15:B$24)</f>
        <v>0</v>
      </c>
      <c r="G918">
        <f t="shared" si="14"/>
        <v>0</v>
      </c>
    </row>
    <row r="919" spans="6:7" ht="15.75" customHeight="1">
      <c r="F919">
        <f>SUMIF(InvoicesInput!A$15:A$24, A919, InvoicesInput!B$15:B$24)</f>
        <v>0</v>
      </c>
      <c r="G919">
        <f t="shared" si="14"/>
        <v>0</v>
      </c>
    </row>
    <row r="920" spans="6:7" ht="15.75" customHeight="1">
      <c r="F920">
        <f>SUMIF(InvoicesInput!A$15:A$24, A920, InvoicesInput!B$15:B$24)</f>
        <v>0</v>
      </c>
      <c r="G920">
        <f t="shared" si="14"/>
        <v>0</v>
      </c>
    </row>
    <row r="921" spans="6:7" ht="15.75" customHeight="1">
      <c r="F921">
        <f>SUMIF(InvoicesInput!A$15:A$24, A921, InvoicesInput!B$15:B$24)</f>
        <v>0</v>
      </c>
      <c r="G921">
        <f t="shared" si="14"/>
        <v>0</v>
      </c>
    </row>
    <row r="922" spans="6:7" ht="15.75" customHeight="1">
      <c r="F922">
        <f>SUMIF(InvoicesInput!A$15:A$24, A922, InvoicesInput!B$15:B$24)</f>
        <v>0</v>
      </c>
      <c r="G922">
        <f t="shared" si="14"/>
        <v>0</v>
      </c>
    </row>
    <row r="923" spans="6:7" ht="15.75" customHeight="1">
      <c r="F923">
        <f>SUMIF(InvoicesInput!A$15:A$24, A923, InvoicesInput!B$15:B$24)</f>
        <v>0</v>
      </c>
      <c r="G923">
        <f t="shared" si="14"/>
        <v>0</v>
      </c>
    </row>
    <row r="924" spans="6:7" ht="15.75" customHeight="1">
      <c r="F924">
        <f>SUMIF(InvoicesInput!A$15:A$24, A924, InvoicesInput!B$15:B$24)</f>
        <v>0</v>
      </c>
      <c r="G924">
        <f t="shared" si="14"/>
        <v>0</v>
      </c>
    </row>
    <row r="925" spans="6:7" ht="15.75" customHeight="1">
      <c r="F925">
        <f>SUMIF(InvoicesInput!A$15:A$24, A925, InvoicesInput!B$15:B$24)</f>
        <v>0</v>
      </c>
      <c r="G925">
        <f t="shared" si="14"/>
        <v>0</v>
      </c>
    </row>
    <row r="926" spans="6:7" ht="15.75" customHeight="1">
      <c r="F926">
        <f>SUMIF(InvoicesInput!A$15:A$24, A926, InvoicesInput!B$15:B$24)</f>
        <v>0</v>
      </c>
      <c r="G926">
        <f t="shared" si="14"/>
        <v>0</v>
      </c>
    </row>
    <row r="927" spans="6:7" ht="15.75" customHeight="1">
      <c r="F927">
        <f>SUMIF(InvoicesInput!A$15:A$24, A927, InvoicesInput!B$15:B$24)</f>
        <v>0</v>
      </c>
      <c r="G927">
        <f t="shared" si="14"/>
        <v>0</v>
      </c>
    </row>
    <row r="928" spans="6:7" ht="15.75" customHeight="1">
      <c r="F928">
        <f>SUMIF(InvoicesInput!A$15:A$24, A928, InvoicesInput!B$15:B$24)</f>
        <v>0</v>
      </c>
      <c r="G928">
        <f t="shared" si="14"/>
        <v>0</v>
      </c>
    </row>
    <row r="929" spans="6:7" ht="15.75" customHeight="1">
      <c r="F929">
        <f>SUMIF(InvoicesInput!A$15:A$24, A929, InvoicesInput!B$15:B$24)</f>
        <v>0</v>
      </c>
      <c r="G929">
        <f t="shared" si="14"/>
        <v>0</v>
      </c>
    </row>
    <row r="930" spans="6:7" ht="15.75" customHeight="1">
      <c r="F930">
        <f>SUMIF(InvoicesInput!A$15:A$24, A930, InvoicesInput!B$15:B$24)</f>
        <v>0</v>
      </c>
      <c r="G930">
        <f t="shared" si="14"/>
        <v>0</v>
      </c>
    </row>
    <row r="931" spans="6:7" ht="15.75" customHeight="1">
      <c r="F931">
        <f>SUMIF(InvoicesInput!A$15:A$24, A931, InvoicesInput!B$15:B$24)</f>
        <v>0</v>
      </c>
      <c r="G931">
        <f t="shared" si="14"/>
        <v>0</v>
      </c>
    </row>
    <row r="932" spans="6:7" ht="15.75" customHeight="1">
      <c r="F932">
        <f>SUMIF(InvoicesInput!A$15:A$24, A932, InvoicesInput!B$15:B$24)</f>
        <v>0</v>
      </c>
      <c r="G932">
        <f t="shared" si="14"/>
        <v>0</v>
      </c>
    </row>
    <row r="933" spans="6:7" ht="15.75" customHeight="1">
      <c r="F933">
        <f>SUMIF(InvoicesInput!A$15:A$24, A933, InvoicesInput!B$15:B$24)</f>
        <v>0</v>
      </c>
      <c r="G933">
        <f t="shared" si="14"/>
        <v>0</v>
      </c>
    </row>
    <row r="934" spans="6:7" ht="15.75" customHeight="1">
      <c r="F934">
        <f>SUMIF(InvoicesInput!A$15:A$24, A934, InvoicesInput!B$15:B$24)</f>
        <v>0</v>
      </c>
      <c r="G934">
        <f t="shared" si="14"/>
        <v>0</v>
      </c>
    </row>
    <row r="935" spans="6:7" ht="15.75" customHeight="1">
      <c r="F935">
        <f>SUMIF(InvoicesInput!A$15:A$24, A935, InvoicesInput!B$15:B$24)</f>
        <v>0</v>
      </c>
      <c r="G935">
        <f t="shared" si="14"/>
        <v>0</v>
      </c>
    </row>
    <row r="936" spans="6:7" ht="15.75" customHeight="1">
      <c r="F936">
        <f>SUMIF(InvoicesInput!A$15:A$24, A936, InvoicesInput!B$15:B$24)</f>
        <v>0</v>
      </c>
      <c r="G936">
        <f t="shared" si="14"/>
        <v>0</v>
      </c>
    </row>
    <row r="937" spans="6:7" ht="15.75" customHeight="1">
      <c r="F937">
        <f>SUMIF(InvoicesInput!A$15:A$24, A937, InvoicesInput!B$15:B$24)</f>
        <v>0</v>
      </c>
      <c r="G937">
        <f t="shared" si="14"/>
        <v>0</v>
      </c>
    </row>
    <row r="938" spans="6:7" ht="15.75" customHeight="1">
      <c r="F938">
        <f>SUMIF(InvoicesInput!A$15:A$24, A938, InvoicesInput!B$15:B$24)</f>
        <v>0</v>
      </c>
      <c r="G938">
        <f t="shared" si="14"/>
        <v>0</v>
      </c>
    </row>
    <row r="939" spans="6:7" ht="15.75" customHeight="1">
      <c r="F939">
        <f>SUMIF(InvoicesInput!A$15:A$24, A939, InvoicesInput!B$15:B$24)</f>
        <v>0</v>
      </c>
      <c r="G939">
        <f t="shared" si="14"/>
        <v>0</v>
      </c>
    </row>
    <row r="940" spans="6:7" ht="15.75" customHeight="1">
      <c r="F940">
        <f>SUMIF(InvoicesInput!A$15:A$24, A940, InvoicesInput!B$15:B$24)</f>
        <v>0</v>
      </c>
      <c r="G940">
        <f t="shared" si="14"/>
        <v>0</v>
      </c>
    </row>
    <row r="941" spans="6:7" ht="15.75" customHeight="1">
      <c r="F941">
        <f>SUMIF(InvoicesInput!A$15:A$24, A941, InvoicesInput!B$15:B$24)</f>
        <v>0</v>
      </c>
      <c r="G941">
        <f t="shared" si="14"/>
        <v>0</v>
      </c>
    </row>
    <row r="942" spans="6:7" ht="15.75" customHeight="1">
      <c r="F942">
        <f>SUMIF(InvoicesInput!A$15:A$24, A942, InvoicesInput!B$15:B$24)</f>
        <v>0</v>
      </c>
      <c r="G942">
        <f t="shared" si="14"/>
        <v>0</v>
      </c>
    </row>
    <row r="943" spans="6:7" ht="15.75" customHeight="1">
      <c r="F943">
        <f>SUMIF(InvoicesInput!A$15:A$24, A943, InvoicesInput!B$15:B$24)</f>
        <v>0</v>
      </c>
      <c r="G943">
        <f t="shared" si="14"/>
        <v>0</v>
      </c>
    </row>
    <row r="944" spans="6:7" ht="15.75" customHeight="1">
      <c r="F944">
        <f>SUMIF(InvoicesInput!A$15:A$24, A944, InvoicesInput!B$15:B$24)</f>
        <v>0</v>
      </c>
      <c r="G944">
        <f t="shared" si="14"/>
        <v>0</v>
      </c>
    </row>
    <row r="945" spans="6:7" ht="15.75" customHeight="1">
      <c r="F945">
        <f>SUMIF(InvoicesInput!A$15:A$24, A945, InvoicesInput!B$15:B$24)</f>
        <v>0</v>
      </c>
      <c r="G945">
        <f t="shared" si="14"/>
        <v>0</v>
      </c>
    </row>
    <row r="946" spans="6:7" ht="15.75" customHeight="1">
      <c r="F946">
        <f>SUMIF(InvoicesInput!A$15:A$24, A946, InvoicesInput!B$15:B$24)</f>
        <v>0</v>
      </c>
      <c r="G946">
        <f t="shared" si="14"/>
        <v>0</v>
      </c>
    </row>
    <row r="947" spans="6:7" ht="15.75" customHeight="1">
      <c r="F947">
        <f>SUMIF(InvoicesInput!A$15:A$24, A947, InvoicesInput!B$15:B$24)</f>
        <v>0</v>
      </c>
      <c r="G947">
        <f t="shared" si="14"/>
        <v>0</v>
      </c>
    </row>
    <row r="948" spans="6:7" ht="15.75" customHeight="1">
      <c r="F948">
        <f>SUMIF(InvoicesInput!A$15:A$24, A948, InvoicesInput!B$15:B$24)</f>
        <v>0</v>
      </c>
      <c r="G948">
        <f t="shared" si="14"/>
        <v>0</v>
      </c>
    </row>
    <row r="949" spans="6:7" ht="15.75" customHeight="1">
      <c r="F949">
        <f>SUMIF(InvoicesInput!A$15:A$24, A949, InvoicesInput!B$15:B$24)</f>
        <v>0</v>
      </c>
      <c r="G949">
        <f t="shared" si="14"/>
        <v>0</v>
      </c>
    </row>
    <row r="950" spans="6:7" ht="15.75" customHeight="1">
      <c r="F950">
        <f>SUMIF(InvoicesInput!A$15:A$24, A950, InvoicesInput!B$15:B$24)</f>
        <v>0</v>
      </c>
      <c r="G950">
        <f t="shared" si="14"/>
        <v>0</v>
      </c>
    </row>
    <row r="951" spans="6:7" ht="15.75" customHeight="1">
      <c r="F951">
        <f>SUMIF(InvoicesInput!A$15:A$24, A951, InvoicesInput!B$15:B$24)</f>
        <v>0</v>
      </c>
      <c r="G951">
        <f t="shared" si="14"/>
        <v>0</v>
      </c>
    </row>
    <row r="952" spans="6:7" ht="15.75" customHeight="1">
      <c r="F952">
        <f>SUMIF(InvoicesInput!A$15:A$24, A952, InvoicesInput!B$15:B$24)</f>
        <v>0</v>
      </c>
      <c r="G952">
        <f t="shared" si="14"/>
        <v>0</v>
      </c>
    </row>
    <row r="953" spans="6:7" ht="15.75" customHeight="1">
      <c r="F953">
        <f>SUMIF(InvoicesInput!A$15:A$24, A953, InvoicesInput!B$15:B$24)</f>
        <v>0</v>
      </c>
      <c r="G953">
        <f t="shared" si="14"/>
        <v>0</v>
      </c>
    </row>
    <row r="954" spans="6:7" ht="15.75" customHeight="1">
      <c r="F954">
        <f>SUMIF(InvoicesInput!A$15:A$24, A954, InvoicesInput!B$15:B$24)</f>
        <v>0</v>
      </c>
      <c r="G954">
        <f t="shared" si="14"/>
        <v>0</v>
      </c>
    </row>
    <row r="955" spans="6:7" ht="15.75" customHeight="1">
      <c r="F955">
        <f>SUMIF(InvoicesInput!A$15:A$24, A955, InvoicesInput!B$15:B$24)</f>
        <v>0</v>
      </c>
      <c r="G955">
        <f t="shared" si="14"/>
        <v>0</v>
      </c>
    </row>
    <row r="956" spans="6:7" ht="15.75" customHeight="1">
      <c r="F956">
        <f>SUMIF(InvoicesInput!A$15:A$24, A956, InvoicesInput!B$15:B$24)</f>
        <v>0</v>
      </c>
      <c r="G956">
        <f t="shared" si="14"/>
        <v>0</v>
      </c>
    </row>
    <row r="957" spans="6:7" ht="15.75" customHeight="1">
      <c r="F957">
        <f>SUMIF(InvoicesInput!A$15:A$24, A957, InvoicesInput!B$15:B$24)</f>
        <v>0</v>
      </c>
      <c r="G957">
        <f t="shared" si="14"/>
        <v>0</v>
      </c>
    </row>
    <row r="958" spans="6:7" ht="15.75" customHeight="1">
      <c r="F958">
        <f>SUMIF(InvoicesInput!A$15:A$24, A958, InvoicesInput!B$15:B$24)</f>
        <v>0</v>
      </c>
      <c r="G958">
        <f t="shared" si="14"/>
        <v>0</v>
      </c>
    </row>
    <row r="959" spans="6:7" ht="15.75" customHeight="1">
      <c r="F959">
        <f>SUMIF(InvoicesInput!A$15:A$24, A959, InvoicesInput!B$15:B$24)</f>
        <v>0</v>
      </c>
      <c r="G959">
        <f t="shared" si="14"/>
        <v>0</v>
      </c>
    </row>
    <row r="960" spans="6:7" ht="15.75" customHeight="1">
      <c r="F960">
        <f>SUMIF(InvoicesInput!A$15:A$24, A960, InvoicesInput!B$15:B$24)</f>
        <v>0</v>
      </c>
      <c r="G960">
        <f t="shared" si="14"/>
        <v>0</v>
      </c>
    </row>
    <row r="961" spans="6:7" ht="15.75" customHeight="1">
      <c r="F961">
        <f>SUMIF(InvoicesInput!A$15:A$24, A961, InvoicesInput!B$15:B$24)</f>
        <v>0</v>
      </c>
      <c r="G961">
        <f t="shared" si="14"/>
        <v>0</v>
      </c>
    </row>
    <row r="962" spans="6:7" ht="15.75" customHeight="1">
      <c r="F962">
        <f>SUMIF(InvoicesInput!A$15:A$24, A962, InvoicesInput!B$15:B$24)</f>
        <v>0</v>
      </c>
      <c r="G962">
        <f t="shared" si="14"/>
        <v>0</v>
      </c>
    </row>
    <row r="963" spans="6:7" ht="15.75" customHeight="1">
      <c r="F963">
        <f>SUMIF(InvoicesInput!A$15:A$24, A963, InvoicesInput!B$15:B$24)</f>
        <v>0</v>
      </c>
      <c r="G963">
        <f t="shared" ref="G963:G1000" si="15">B963 - F963</f>
        <v>0</v>
      </c>
    </row>
    <row r="964" spans="6:7" ht="15.75" customHeight="1">
      <c r="F964">
        <f>SUMIF(InvoicesInput!A$15:A$24, A964, InvoicesInput!B$15:B$24)</f>
        <v>0</v>
      </c>
      <c r="G964">
        <f t="shared" si="15"/>
        <v>0</v>
      </c>
    </row>
    <row r="965" spans="6:7" ht="15.75" customHeight="1">
      <c r="F965">
        <f>SUMIF(InvoicesInput!A$15:A$24, A965, InvoicesInput!B$15:B$24)</f>
        <v>0</v>
      </c>
      <c r="G965">
        <f t="shared" si="15"/>
        <v>0</v>
      </c>
    </row>
    <row r="966" spans="6:7" ht="15.75" customHeight="1">
      <c r="F966">
        <f>SUMIF(InvoicesInput!A$15:A$24, A966, InvoicesInput!B$15:B$24)</f>
        <v>0</v>
      </c>
      <c r="G966">
        <f t="shared" si="15"/>
        <v>0</v>
      </c>
    </row>
    <row r="967" spans="6:7" ht="15.75" customHeight="1">
      <c r="F967">
        <f>SUMIF(InvoicesInput!A$15:A$24, A967, InvoicesInput!B$15:B$24)</f>
        <v>0</v>
      </c>
      <c r="G967">
        <f t="shared" si="15"/>
        <v>0</v>
      </c>
    </row>
    <row r="968" spans="6:7" ht="15.75" customHeight="1">
      <c r="F968">
        <f>SUMIF(InvoicesInput!A$15:A$24, A968, InvoicesInput!B$15:B$24)</f>
        <v>0</v>
      </c>
      <c r="G968">
        <f t="shared" si="15"/>
        <v>0</v>
      </c>
    </row>
    <row r="969" spans="6:7" ht="15.75" customHeight="1">
      <c r="F969">
        <f>SUMIF(InvoicesInput!A$15:A$24, A969, InvoicesInput!B$15:B$24)</f>
        <v>0</v>
      </c>
      <c r="G969">
        <f t="shared" si="15"/>
        <v>0</v>
      </c>
    </row>
    <row r="970" spans="6:7" ht="15.75" customHeight="1">
      <c r="F970">
        <f>SUMIF(InvoicesInput!A$15:A$24, A970, InvoicesInput!B$15:B$24)</f>
        <v>0</v>
      </c>
      <c r="G970">
        <f t="shared" si="15"/>
        <v>0</v>
      </c>
    </row>
    <row r="971" spans="6:7" ht="15.75" customHeight="1">
      <c r="F971">
        <f>SUMIF(InvoicesInput!A$15:A$24, A971, InvoicesInput!B$15:B$24)</f>
        <v>0</v>
      </c>
      <c r="G971">
        <f t="shared" si="15"/>
        <v>0</v>
      </c>
    </row>
    <row r="972" spans="6:7" ht="15.75" customHeight="1">
      <c r="F972">
        <f>SUMIF(InvoicesInput!A$15:A$24, A972, InvoicesInput!B$15:B$24)</f>
        <v>0</v>
      </c>
      <c r="G972">
        <f t="shared" si="15"/>
        <v>0</v>
      </c>
    </row>
    <row r="973" spans="6:7" ht="15.75" customHeight="1">
      <c r="F973">
        <f>SUMIF(InvoicesInput!A$15:A$24, A973, InvoicesInput!B$15:B$24)</f>
        <v>0</v>
      </c>
      <c r="G973">
        <f t="shared" si="15"/>
        <v>0</v>
      </c>
    </row>
    <row r="974" spans="6:7" ht="15.75" customHeight="1">
      <c r="F974">
        <f>SUMIF(InvoicesInput!A$15:A$24, A974, InvoicesInput!B$15:B$24)</f>
        <v>0</v>
      </c>
      <c r="G974">
        <f t="shared" si="15"/>
        <v>0</v>
      </c>
    </row>
    <row r="975" spans="6:7" ht="15.75" customHeight="1">
      <c r="F975">
        <f>SUMIF(InvoicesInput!A$15:A$24, A975, InvoicesInput!B$15:B$24)</f>
        <v>0</v>
      </c>
      <c r="G975">
        <f t="shared" si="15"/>
        <v>0</v>
      </c>
    </row>
    <row r="976" spans="6:7" ht="15.75" customHeight="1">
      <c r="F976">
        <f>SUMIF(InvoicesInput!A$15:A$24, A976, InvoicesInput!B$15:B$24)</f>
        <v>0</v>
      </c>
      <c r="G976">
        <f t="shared" si="15"/>
        <v>0</v>
      </c>
    </row>
    <row r="977" spans="6:7" ht="15.75" customHeight="1">
      <c r="F977">
        <f>SUMIF(InvoicesInput!A$15:A$24, A977, InvoicesInput!B$15:B$24)</f>
        <v>0</v>
      </c>
      <c r="G977">
        <f t="shared" si="15"/>
        <v>0</v>
      </c>
    </row>
    <row r="978" spans="6:7" ht="15.75" customHeight="1">
      <c r="F978">
        <f>SUMIF(InvoicesInput!A$15:A$24, A978, InvoicesInput!B$15:B$24)</f>
        <v>0</v>
      </c>
      <c r="G978">
        <f t="shared" si="15"/>
        <v>0</v>
      </c>
    </row>
    <row r="979" spans="6:7" ht="15.75" customHeight="1">
      <c r="F979">
        <f>SUMIF(InvoicesInput!A$15:A$24, A979, InvoicesInput!B$15:B$24)</f>
        <v>0</v>
      </c>
      <c r="G979">
        <f t="shared" si="15"/>
        <v>0</v>
      </c>
    </row>
    <row r="980" spans="6:7" ht="15.75" customHeight="1">
      <c r="F980">
        <f>SUMIF(InvoicesInput!A$15:A$24, A980, InvoicesInput!B$15:B$24)</f>
        <v>0</v>
      </c>
      <c r="G980">
        <f t="shared" si="15"/>
        <v>0</v>
      </c>
    </row>
    <row r="981" spans="6:7" ht="15.75" customHeight="1">
      <c r="F981">
        <f>SUMIF(InvoicesInput!A$15:A$24, A981, InvoicesInput!B$15:B$24)</f>
        <v>0</v>
      </c>
      <c r="G981">
        <f t="shared" si="15"/>
        <v>0</v>
      </c>
    </row>
    <row r="982" spans="6:7" ht="15.75" customHeight="1">
      <c r="F982">
        <f>SUMIF(InvoicesInput!A$15:A$24, A982, InvoicesInput!B$15:B$24)</f>
        <v>0</v>
      </c>
      <c r="G982">
        <f t="shared" si="15"/>
        <v>0</v>
      </c>
    </row>
    <row r="983" spans="6:7" ht="15.75" customHeight="1">
      <c r="F983">
        <f>SUMIF(InvoicesInput!A$15:A$24, A983, InvoicesInput!B$15:B$24)</f>
        <v>0</v>
      </c>
      <c r="G983">
        <f t="shared" si="15"/>
        <v>0</v>
      </c>
    </row>
    <row r="984" spans="6:7" ht="15.75" customHeight="1">
      <c r="F984">
        <f>SUMIF(InvoicesInput!A$15:A$24, A984, InvoicesInput!B$15:B$24)</f>
        <v>0</v>
      </c>
      <c r="G984">
        <f t="shared" si="15"/>
        <v>0</v>
      </c>
    </row>
    <row r="985" spans="6:7" ht="15.75" customHeight="1">
      <c r="F985">
        <f>SUMIF(InvoicesInput!A$15:A$24, A985, InvoicesInput!B$15:B$24)</f>
        <v>0</v>
      </c>
      <c r="G985">
        <f t="shared" si="15"/>
        <v>0</v>
      </c>
    </row>
    <row r="986" spans="6:7" ht="15.75" customHeight="1">
      <c r="F986">
        <f>SUMIF(InvoicesInput!A$15:A$24, A986, InvoicesInput!B$15:B$24)</f>
        <v>0</v>
      </c>
      <c r="G986">
        <f t="shared" si="15"/>
        <v>0</v>
      </c>
    </row>
    <row r="987" spans="6:7" ht="15.75" customHeight="1">
      <c r="F987">
        <f>SUMIF(InvoicesInput!A$15:A$24, A987, InvoicesInput!B$15:B$24)</f>
        <v>0</v>
      </c>
      <c r="G987">
        <f t="shared" si="15"/>
        <v>0</v>
      </c>
    </row>
    <row r="988" spans="6:7" ht="15.75" customHeight="1">
      <c r="F988">
        <f>SUMIF(InvoicesInput!A$15:A$24, A988, InvoicesInput!B$15:B$24)</f>
        <v>0</v>
      </c>
      <c r="G988">
        <f t="shared" si="15"/>
        <v>0</v>
      </c>
    </row>
    <row r="989" spans="6:7" ht="15.75" customHeight="1">
      <c r="F989">
        <f>SUMIF(InvoicesInput!A$15:A$24, A989, InvoicesInput!B$15:B$24)</f>
        <v>0</v>
      </c>
      <c r="G989">
        <f t="shared" si="15"/>
        <v>0</v>
      </c>
    </row>
    <row r="990" spans="6:7" ht="15.75" customHeight="1">
      <c r="F990">
        <f>SUMIF(InvoicesInput!A$15:A$24, A990, InvoicesInput!B$15:B$24)</f>
        <v>0</v>
      </c>
      <c r="G990">
        <f t="shared" si="15"/>
        <v>0</v>
      </c>
    </row>
    <row r="991" spans="6:7" ht="15.75" customHeight="1">
      <c r="F991">
        <f>SUMIF(InvoicesInput!A$15:A$24, A991, InvoicesInput!B$15:B$24)</f>
        <v>0</v>
      </c>
      <c r="G991">
        <f t="shared" si="15"/>
        <v>0</v>
      </c>
    </row>
    <row r="992" spans="6:7" ht="15.75" customHeight="1">
      <c r="F992">
        <f>SUMIF(InvoicesInput!A$15:A$24, A992, InvoicesInput!B$15:B$24)</f>
        <v>0</v>
      </c>
      <c r="G992">
        <f t="shared" si="15"/>
        <v>0</v>
      </c>
    </row>
    <row r="993" spans="6:7" ht="15.75" customHeight="1">
      <c r="F993">
        <f>SUMIF(InvoicesInput!A$15:A$24, A993, InvoicesInput!B$15:B$24)</f>
        <v>0</v>
      </c>
      <c r="G993">
        <f t="shared" si="15"/>
        <v>0</v>
      </c>
    </row>
    <row r="994" spans="6:7" ht="15.75" customHeight="1">
      <c r="F994">
        <f>SUMIF(InvoicesInput!A$15:A$24, A994, InvoicesInput!B$15:B$24)</f>
        <v>0</v>
      </c>
      <c r="G994">
        <f t="shared" si="15"/>
        <v>0</v>
      </c>
    </row>
    <row r="995" spans="6:7" ht="15.75" customHeight="1">
      <c r="F995">
        <f>SUMIF(InvoicesInput!A$15:A$24, A995, InvoicesInput!B$15:B$24)</f>
        <v>0</v>
      </c>
      <c r="G995">
        <f t="shared" si="15"/>
        <v>0</v>
      </c>
    </row>
    <row r="996" spans="6:7" ht="15.75" customHeight="1">
      <c r="F996">
        <f>SUMIF(InvoicesInput!A$15:A$24, A996, InvoicesInput!B$15:B$24)</f>
        <v>0</v>
      </c>
      <c r="G996">
        <f t="shared" si="15"/>
        <v>0</v>
      </c>
    </row>
    <row r="997" spans="6:7" ht="15.75" customHeight="1">
      <c r="F997">
        <f>SUMIF(InvoicesInput!A$15:A$24, A997, InvoicesInput!B$15:B$24)</f>
        <v>0</v>
      </c>
      <c r="G997">
        <f t="shared" si="15"/>
        <v>0</v>
      </c>
    </row>
    <row r="998" spans="6:7" ht="15.75" customHeight="1">
      <c r="F998">
        <f>SUMIF(InvoicesInput!A$15:A$24, A998, InvoicesInput!B$15:B$24)</f>
        <v>0</v>
      </c>
      <c r="G998">
        <f t="shared" si="15"/>
        <v>0</v>
      </c>
    </row>
    <row r="999" spans="6:7" ht="15.75" customHeight="1">
      <c r="F999">
        <f>SUMIF(InvoicesInput!A$15:A$24, A999, InvoicesInput!B$15:B$24)</f>
        <v>0</v>
      </c>
      <c r="G999">
        <f t="shared" si="15"/>
        <v>0</v>
      </c>
    </row>
    <row r="1000" spans="6:7" ht="15.75" customHeight="1">
      <c r="F1000">
        <f>SUMIF(InvoicesInput!A$15:A$24, A1000, InvoicesInput!B$15:B$24)</f>
        <v>0</v>
      </c>
      <c r="G1000">
        <f t="shared" si="1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3ADD7-27E0-409E-AC48-88CDB2898CAB}">
  <sheetPr codeName="Sheet3"/>
  <dimension ref="A1"/>
  <sheetViews>
    <sheetView showGridLines="0" showZeros="0" tabSelected="1" workbookViewId="0"/>
  </sheetViews>
  <sheetFormatPr defaultRowHeight="12.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nterInvoices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2</xdr:col>
                    <xdr:colOff>177800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A617C-C1E7-4D08-9C93-8C5C2629DE89}">
  <sheetPr codeName="Sheet2">
    <outlinePr summaryBelow="0" summaryRight="0"/>
  </sheetPr>
  <dimension ref="A3:Q48"/>
  <sheetViews>
    <sheetView showZeros="0" workbookViewId="0">
      <selection activeCell="A10" sqref="A10:B10"/>
    </sheetView>
  </sheetViews>
  <sheetFormatPr defaultColWidth="12.6328125" defaultRowHeight="15.75" customHeight="1"/>
  <cols>
    <col min="1" max="1" width="35.7265625" customWidth="1"/>
  </cols>
  <sheetData>
    <row r="3" spans="1:17" ht="15.75" customHeight="1">
      <c r="A3" s="32" t="s">
        <v>8</v>
      </c>
      <c r="B3" s="31"/>
      <c r="C3" s="31"/>
      <c r="D3" s="31"/>
      <c r="E3" s="3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11"/>
    </row>
    <row r="4" spans="1:17" ht="15.75" customHeight="1">
      <c r="A4" s="30" t="s">
        <v>9</v>
      </c>
      <c r="B4" s="31"/>
      <c r="C4" s="31"/>
      <c r="D4" s="31"/>
      <c r="E4" s="31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1"/>
    </row>
    <row r="5" spans="1:17" ht="15.75" customHeight="1">
      <c r="A5" s="30" t="s">
        <v>10</v>
      </c>
      <c r="B5" s="31"/>
      <c r="C5" s="31"/>
      <c r="D5" s="31"/>
      <c r="E5" s="31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11"/>
    </row>
    <row r="6" spans="1:17" ht="15.75" customHeight="1">
      <c r="A6" s="30" t="s">
        <v>11</v>
      </c>
      <c r="B6" s="31"/>
      <c r="C6" s="31"/>
      <c r="D6" s="31"/>
      <c r="E6" s="31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1"/>
    </row>
    <row r="7" spans="1:17" ht="15.75" customHeight="1">
      <c r="A7" s="35" t="s">
        <v>12</v>
      </c>
      <c r="B7" s="31"/>
      <c r="C7" s="31"/>
      <c r="D7" s="31"/>
      <c r="E7" s="3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1"/>
    </row>
    <row r="8" spans="1:17" ht="13">
      <c r="A8" s="1" t="s">
        <v>13</v>
      </c>
      <c r="B8" s="2"/>
      <c r="C8" s="2"/>
      <c r="D8" s="2"/>
      <c r="E8" s="2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1"/>
    </row>
    <row r="9" spans="1:17" ht="13">
      <c r="A9" s="34" t="s">
        <v>14</v>
      </c>
      <c r="B9" s="31"/>
      <c r="C9" s="2"/>
      <c r="D9" s="36" t="s">
        <v>15</v>
      </c>
      <c r="E9" s="31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1"/>
    </row>
    <row r="10" spans="1:17" ht="15.75" customHeight="1">
      <c r="A10" s="37" t="s">
        <v>97</v>
      </c>
      <c r="B10" s="37"/>
      <c r="C10" s="2"/>
      <c r="D10" s="38">
        <f ca="1">TODAY()</f>
        <v>45662</v>
      </c>
      <c r="E10" s="31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1"/>
    </row>
    <row r="11" spans="1:17" ht="15.75" customHeight="1">
      <c r="A11" s="33" t="e">
        <f>VLOOKUP(A10, contacts!A:CJ, 44, FALSE)</f>
        <v>#N/A</v>
      </c>
      <c r="B11" s="31"/>
      <c r="C11" s="2"/>
      <c r="D11" s="2"/>
      <c r="E11" s="2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11"/>
    </row>
    <row r="12" spans="1:17" ht="15.75" customHeight="1">
      <c r="A12" s="33" t="e">
        <f>VLOOKUP(A10, contacts!A:CJ, 52, FALSE)</f>
        <v>#N/A</v>
      </c>
      <c r="B12" s="31"/>
      <c r="C12" s="2"/>
      <c r="D12" s="2"/>
      <c r="E12" s="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11"/>
    </row>
    <row r="13" spans="1:17" ht="15.75" customHeight="1">
      <c r="A13" s="5" t="e">
        <f>VLOOKUP(A10, contacts!A:CJ, 56, FALSE) &amp; ", " &amp; VLOOKUP(A10, contacts!A:CJ, 57, FALSE) &amp; " " &amp; VLOOKUP(A10, contacts!A:CJ, 58, FALSE)</f>
        <v>#N/A</v>
      </c>
      <c r="B13" s="2"/>
      <c r="C13" s="67" t="e">
        <f>HYPERLINK(VLOOKUP(A10, contacts!A:CJ, 16, FALSE))</f>
        <v>#N/A</v>
      </c>
      <c r="D13" s="6"/>
      <c r="E13" s="2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11"/>
    </row>
    <row r="14" spans="1:17" ht="13">
      <c r="A14" s="7" t="s">
        <v>16</v>
      </c>
      <c r="B14" s="7" t="s">
        <v>17</v>
      </c>
      <c r="C14" s="7" t="s">
        <v>18</v>
      </c>
      <c r="D14" s="7" t="s">
        <v>19</v>
      </c>
      <c r="E14" s="2"/>
      <c r="F14" s="4" t="str">
        <f>Inventory!G1</f>
        <v>Quantity In Stock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11"/>
    </row>
    <row r="15" spans="1:17" ht="15.75" customHeight="1">
      <c r="A15" s="8"/>
      <c r="B15" s="8"/>
      <c r="C15" s="9" t="str">
        <f>IFERROR(VLOOKUP(A15,Inventory!$A$2:$CL$9341,3,FALSE), "")</f>
        <v/>
      </c>
      <c r="D15" s="9" t="str">
        <f>IF(AND(ISNUMBER(B15), ISNUMBER(C15)), B15*C15, "")</f>
        <v/>
      </c>
      <c r="E15" s="2"/>
      <c r="F15" s="28" t="str">
        <f>IFERROR(VLOOKUP(A15,Inventory!$A$2:$CL$9341,7,FALSE), "")</f>
        <v/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11"/>
    </row>
    <row r="16" spans="1:17" ht="15.75" customHeight="1">
      <c r="A16" s="8"/>
      <c r="B16" s="8"/>
      <c r="C16" s="9" t="str">
        <f>IFERROR(VLOOKUP(A16,Inventory!$A$2:$CL$9341,3,FALSE), "")</f>
        <v/>
      </c>
      <c r="D16" s="9" t="str">
        <f t="shared" ref="D16:D24" si="0">IF(AND(ISNUMBER(B16), ISNUMBER(C16)), B16*C16, "")</f>
        <v/>
      </c>
      <c r="E16" s="2"/>
      <c r="F16" s="28" t="str">
        <f>IFERROR(VLOOKUP(A16,Inventory!$A$2:$CL$9341,7,FALSE), "")</f>
        <v/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11"/>
    </row>
    <row r="17" spans="1:17" ht="15.75" customHeight="1">
      <c r="A17" s="8"/>
      <c r="B17" s="8"/>
      <c r="C17" s="9" t="str">
        <f>IFERROR(VLOOKUP(A17,Inventory!$A$2:$CL$9341,3,FALSE), "")</f>
        <v/>
      </c>
      <c r="D17" s="9" t="str">
        <f t="shared" si="0"/>
        <v/>
      </c>
      <c r="E17" s="2"/>
      <c r="F17" s="28" t="str">
        <f>IFERROR(VLOOKUP(A17,Inventory!$A$2:$CL$9341,7,FALSE), "")</f>
        <v/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11"/>
    </row>
    <row r="18" spans="1:17" ht="15.75" customHeight="1">
      <c r="A18" s="8"/>
      <c r="B18" s="8"/>
      <c r="C18" s="9" t="str">
        <f>IFERROR(VLOOKUP(A18,Inventory!$A$2:$CL$9341,3,FALSE), "")</f>
        <v/>
      </c>
      <c r="D18" s="9" t="str">
        <f t="shared" si="0"/>
        <v/>
      </c>
      <c r="E18" s="2"/>
      <c r="F18" s="28" t="str">
        <f>IFERROR(VLOOKUP(A18,Inventory!$A$2:$CL$9341,7,FALSE), "")</f>
        <v/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11"/>
    </row>
    <row r="19" spans="1:17" ht="15.75" customHeight="1">
      <c r="A19" s="8"/>
      <c r="B19" s="8"/>
      <c r="C19" s="9" t="str">
        <f>IFERROR(VLOOKUP(A19,Inventory!$A$2:$CL$9341,3,FALSE), "")</f>
        <v/>
      </c>
      <c r="D19" s="9" t="str">
        <f t="shared" si="0"/>
        <v/>
      </c>
      <c r="E19" s="2"/>
      <c r="F19" s="28" t="str">
        <f>IFERROR(VLOOKUP(A19,Inventory!$A$2:$CL$9341,7,FALSE), "")</f>
        <v/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11"/>
    </row>
    <row r="20" spans="1:17" ht="15.75" customHeight="1">
      <c r="A20" s="8"/>
      <c r="B20" s="8"/>
      <c r="C20" s="9" t="str">
        <f>IFERROR(VLOOKUP(A20,Inventory!$A$2:$CL$9341,3,FALSE), "")</f>
        <v/>
      </c>
      <c r="D20" s="9" t="str">
        <f t="shared" si="0"/>
        <v/>
      </c>
      <c r="E20" s="2"/>
      <c r="F20" s="28" t="str">
        <f>IFERROR(VLOOKUP(A20,Inventory!$A$2:$CL$9341,7,FALSE), "")</f>
        <v/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11"/>
    </row>
    <row r="21" spans="1:17" ht="15.75" customHeight="1">
      <c r="A21" s="8"/>
      <c r="B21" s="8"/>
      <c r="C21" s="9" t="str">
        <f>IFERROR(VLOOKUP(A21,Inventory!$A$2:$CL$9341,3,FALSE), "")</f>
        <v/>
      </c>
      <c r="D21" s="9" t="str">
        <f t="shared" si="0"/>
        <v/>
      </c>
      <c r="E21" s="2"/>
      <c r="F21" s="28" t="str">
        <f>IFERROR(VLOOKUP(A21,Inventory!$A$2:$CL$9341,7,FALSE), "")</f>
        <v/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11"/>
    </row>
    <row r="22" spans="1:17" ht="15.75" customHeight="1">
      <c r="A22" s="8"/>
      <c r="B22" s="8"/>
      <c r="C22" s="9" t="str">
        <f>IFERROR(VLOOKUP(A22,Inventory!$A$2:$CL$9341,3,FALSE), "")</f>
        <v/>
      </c>
      <c r="D22" s="9" t="str">
        <f t="shared" si="0"/>
        <v/>
      </c>
      <c r="E22" s="2"/>
      <c r="F22" s="28" t="str">
        <f>IFERROR(VLOOKUP(A22,Inventory!$A$2:$CL$9341,7,FALSE), "")</f>
        <v/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11"/>
    </row>
    <row r="23" spans="1:17" ht="15.75" customHeight="1">
      <c r="A23" s="8"/>
      <c r="B23" s="8"/>
      <c r="C23" s="9" t="str">
        <f>IFERROR(VLOOKUP(A23,Inventory!$A$2:$CL$9341,3,FALSE), "")</f>
        <v/>
      </c>
      <c r="D23" s="9" t="str">
        <f t="shared" si="0"/>
        <v/>
      </c>
      <c r="E23" s="2"/>
      <c r="F23" s="28" t="str">
        <f>IFERROR(VLOOKUP(A23,Inventory!$A$2:$CL$9341,7,FALSE), "")</f>
        <v/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11"/>
    </row>
    <row r="24" spans="1:17" ht="15.75" customHeight="1">
      <c r="A24" s="8"/>
      <c r="B24" s="8"/>
      <c r="C24" s="9" t="str">
        <f>IFERROR(VLOOKUP(A24,Inventory!$A$2:$CL$9341,3,FALSE), "")</f>
        <v/>
      </c>
      <c r="D24" s="9" t="str">
        <f t="shared" si="0"/>
        <v/>
      </c>
      <c r="E24" s="2"/>
      <c r="F24" s="28" t="str">
        <f>IFERROR(VLOOKUP(A24,Inventory!$A$2:$CL$9341,7,FALSE), "")</f>
        <v/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11"/>
    </row>
    <row r="25" spans="1:17" ht="15.75" customHeight="1">
      <c r="A25" s="2"/>
      <c r="B25" s="2"/>
      <c r="C25" s="2"/>
      <c r="D25" s="2"/>
      <c r="E25" s="2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1"/>
    </row>
    <row r="26" spans="1:17" ht="13">
      <c r="A26" s="2"/>
      <c r="B26" s="2"/>
      <c r="C26" s="3" t="s">
        <v>20</v>
      </c>
      <c r="D26" s="10">
        <f>SUM(D15:D24)</f>
        <v>0</v>
      </c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11"/>
    </row>
    <row r="27" spans="1:17" ht="13">
      <c r="A27" s="2"/>
      <c r="B27" s="2"/>
      <c r="C27" s="3" t="s">
        <v>21</v>
      </c>
      <c r="D27" s="10">
        <f>D26*0.1</f>
        <v>0</v>
      </c>
      <c r="E27" s="2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11"/>
    </row>
    <row r="28" spans="1:17" ht="13">
      <c r="A28" s="2"/>
      <c r="B28" s="2"/>
      <c r="C28" s="3" t="s">
        <v>22</v>
      </c>
      <c r="D28" s="10">
        <f>D26+D27</f>
        <v>0</v>
      </c>
      <c r="E28" s="2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11"/>
    </row>
    <row r="29" spans="1:17" ht="15.75" customHeight="1">
      <c r="A29" s="2"/>
      <c r="B29" s="2"/>
      <c r="C29" s="2"/>
      <c r="D29" s="2"/>
      <c r="E29" s="2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11"/>
    </row>
    <row r="30" spans="1:17" ht="13">
      <c r="A30" s="34" t="s">
        <v>23</v>
      </c>
      <c r="B30" s="31"/>
      <c r="C30" s="31"/>
      <c r="D30" s="31"/>
      <c r="E30" s="3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11"/>
    </row>
    <row r="31" spans="1:17" ht="15.75" customHeight="1">
      <c r="A31" s="33" t="s">
        <v>24</v>
      </c>
      <c r="B31" s="31"/>
      <c r="C31" s="31"/>
      <c r="D31" s="31"/>
      <c r="E31" s="3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11"/>
    </row>
    <row r="32" spans="1:17" ht="13">
      <c r="A32" s="29" t="s">
        <v>25</v>
      </c>
      <c r="B32" s="23" t="s">
        <v>26</v>
      </c>
      <c r="C32" s="23" t="s">
        <v>27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11"/>
    </row>
    <row r="33" spans="1:17" ht="15.75" customHeight="1">
      <c r="A33" s="26"/>
      <c r="B33" s="4"/>
      <c r="C33" s="2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11"/>
    </row>
    <row r="34" spans="1:17" ht="15.75" customHeight="1">
      <c r="A34" s="12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11"/>
    </row>
    <row r="35" spans="1:17" ht="15.75" customHeight="1">
      <c r="A35" s="12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11"/>
    </row>
    <row r="36" spans="1:17" ht="15.75" customHeight="1">
      <c r="A36" s="1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11"/>
    </row>
    <row r="37" spans="1:17" ht="15.75" customHeight="1">
      <c r="A37" s="1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11"/>
    </row>
    <row r="38" spans="1:17" ht="15.75" customHeight="1">
      <c r="A38" s="12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11"/>
    </row>
    <row r="39" spans="1:17" ht="15.75" customHeight="1">
      <c r="A39" s="12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11"/>
    </row>
    <row r="40" spans="1:17" ht="12.5">
      <c r="A40" s="12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11"/>
    </row>
    <row r="41" spans="1:17" ht="12.5">
      <c r="A41" s="12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11"/>
    </row>
    <row r="42" spans="1:17" ht="12.5">
      <c r="A42" s="1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11"/>
    </row>
    <row r="43" spans="1:17" ht="12.5">
      <c r="A43" s="1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11"/>
    </row>
    <row r="44" spans="1:17" ht="12.5">
      <c r="A44" s="12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11"/>
    </row>
    <row r="45" spans="1:17" ht="12.5">
      <c r="A45" s="1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11"/>
    </row>
    <row r="46" spans="1:17" ht="12.5">
      <c r="A46" s="1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11"/>
    </row>
    <row r="47" spans="1:17" ht="12.5">
      <c r="A47" s="12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11"/>
    </row>
    <row r="48" spans="1:17" ht="12.5">
      <c r="A48" s="13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5"/>
    </row>
  </sheetData>
  <mergeCells count="13">
    <mergeCell ref="A30:E30"/>
    <mergeCell ref="A31:E31"/>
    <mergeCell ref="A7:E7"/>
    <mergeCell ref="A9:B9"/>
    <mergeCell ref="D9:E9"/>
    <mergeCell ref="A10:B10"/>
    <mergeCell ref="D10:E10"/>
    <mergeCell ref="A11:B11"/>
    <mergeCell ref="A6:E6"/>
    <mergeCell ref="A3:E3"/>
    <mergeCell ref="A4:E4"/>
    <mergeCell ref="A5:E5"/>
    <mergeCell ref="A12:B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5236CD2B-EB93-4E9A-853C-FC7BA46CFF90}">
          <x14:formula1>
            <xm:f>contacts!$A:$A</xm:f>
          </x14:formula1>
          <xm:sqref>A10:B10</xm:sqref>
        </x14:dataValidation>
        <x14:dataValidation type="list" allowBlank="1" showErrorMessage="1" xr:uid="{5D5700DF-9BCE-49AC-8409-EA3EC8E7E64E}">
          <x14:formula1>
            <xm:f>Inventory!$A:$A</xm:f>
          </x14:formula1>
          <xm:sqref>A15:A24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1E3C1-C44C-4E73-A186-755B866D7A4F}">
  <sheetPr codeName="Sheet4"/>
  <dimension ref="A1:Q48"/>
  <sheetViews>
    <sheetView showZeros="0" workbookViewId="0">
      <selection activeCell="A3" sqref="A3:E3"/>
    </sheetView>
  </sheetViews>
  <sheetFormatPr defaultRowHeight="12.5"/>
  <cols>
    <col min="1" max="1" width="35.7265625" customWidth="1"/>
  </cols>
  <sheetData>
    <row r="1" spans="1:17">
      <c r="A1" s="47" t="s">
        <v>57</v>
      </c>
      <c r="B1" s="48" t="s">
        <v>58</v>
      </c>
      <c r="C1" s="48" t="s">
        <v>59</v>
      </c>
      <c r="D1" s="48" t="s">
        <v>60</v>
      </c>
      <c r="E1" s="48" t="s">
        <v>0</v>
      </c>
      <c r="F1" s="48" t="s">
        <v>1</v>
      </c>
      <c r="G1" s="48" t="s">
        <v>2</v>
      </c>
      <c r="H1" s="48" t="s">
        <v>3</v>
      </c>
      <c r="I1" s="48" t="s">
        <v>4</v>
      </c>
      <c r="J1" s="48" t="s">
        <v>5</v>
      </c>
      <c r="K1" s="48" t="s">
        <v>6</v>
      </c>
      <c r="L1" s="48" t="s">
        <v>7</v>
      </c>
      <c r="M1" s="48" t="s">
        <v>61</v>
      </c>
      <c r="N1" s="48" t="s">
        <v>62</v>
      </c>
      <c r="O1" s="49" t="s">
        <v>63</v>
      </c>
      <c r="P1" s="46"/>
      <c r="Q1" s="46"/>
    </row>
    <row r="2" spans="1:17">
      <c r="A2" s="50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2"/>
      <c r="P2" s="46"/>
      <c r="Q2" s="46"/>
    </row>
    <row r="3" spans="1:17" ht="20">
      <c r="A3" s="32" t="s">
        <v>8</v>
      </c>
      <c r="B3" s="31"/>
      <c r="C3" s="31"/>
      <c r="D3" s="31"/>
      <c r="E3" s="3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11"/>
    </row>
    <row r="4" spans="1:17">
      <c r="A4" s="30" t="s">
        <v>9</v>
      </c>
      <c r="B4" s="31"/>
      <c r="C4" s="31"/>
      <c r="D4" s="31"/>
      <c r="E4" s="31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1"/>
    </row>
    <row r="5" spans="1:17">
      <c r="A5" s="30" t="s">
        <v>10</v>
      </c>
      <c r="B5" s="31"/>
      <c r="C5" s="31"/>
      <c r="D5" s="31"/>
      <c r="E5" s="31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11"/>
    </row>
    <row r="6" spans="1:17">
      <c r="A6" s="30" t="s">
        <v>11</v>
      </c>
      <c r="B6" s="31"/>
      <c r="C6" s="31"/>
      <c r="D6" s="31"/>
      <c r="E6" s="31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1"/>
    </row>
    <row r="7" spans="1:17" ht="18">
      <c r="A7" s="35" t="s">
        <v>12</v>
      </c>
      <c r="B7" s="31"/>
      <c r="C7" s="31"/>
      <c r="D7" s="31"/>
      <c r="E7" s="3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1"/>
    </row>
    <row r="8" spans="1:17" ht="13">
      <c r="A8" s="1" t="s">
        <v>13</v>
      </c>
      <c r="B8" s="2"/>
      <c r="C8" s="2"/>
      <c r="D8" s="2"/>
      <c r="E8" s="2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1"/>
    </row>
    <row r="9" spans="1:17" ht="13">
      <c r="A9" s="34" t="s">
        <v>14</v>
      </c>
      <c r="B9" s="31"/>
      <c r="C9" s="2"/>
      <c r="D9" s="36" t="s">
        <v>15</v>
      </c>
      <c r="E9" s="31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1"/>
    </row>
    <row r="10" spans="1:17">
      <c r="A10" s="37" t="s">
        <v>97</v>
      </c>
      <c r="B10" s="37"/>
      <c r="C10" s="2"/>
      <c r="D10" s="38">
        <f ca="1">TODAY()</f>
        <v>45662</v>
      </c>
      <c r="E10" s="31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1"/>
    </row>
    <row r="11" spans="1:17">
      <c r="A11" s="33" t="e">
        <f>VLOOKUP(A10, contacts!A:CJ, 44, FALSE)</f>
        <v>#N/A</v>
      </c>
      <c r="B11" s="31"/>
      <c r="C11" s="2"/>
      <c r="D11" s="2"/>
      <c r="E11" s="2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11"/>
    </row>
    <row r="12" spans="1:17">
      <c r="A12" s="33" t="e">
        <f>VLOOKUP(A10, contacts!A:CJ, 52, FALSE)</f>
        <v>#N/A</v>
      </c>
      <c r="B12" s="31"/>
      <c r="C12" s="2"/>
      <c r="D12" s="2"/>
      <c r="E12" s="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11"/>
    </row>
    <row r="13" spans="1:17">
      <c r="A13" s="5" t="e">
        <f>VLOOKUP(A10, contacts!A:CJ, 56, FALSE) &amp; ", " &amp; VLOOKUP(A10, contacts!A:CJ, 57, FALSE) &amp; " " &amp; VLOOKUP(A10, contacts!A:CJ, 58, FALSE)</f>
        <v>#N/A</v>
      </c>
      <c r="B13" s="2"/>
      <c r="C13" s="67" t="e">
        <f>HYPERLINK(VLOOKUP(A10, contacts!A:CJ, 16, FALSE))</f>
        <v>#N/A</v>
      </c>
      <c r="D13" s="6"/>
      <c r="E13" s="2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11"/>
    </row>
    <row r="14" spans="1:17" ht="13">
      <c r="A14" s="7" t="s">
        <v>16</v>
      </c>
      <c r="B14" s="7" t="s">
        <v>17</v>
      </c>
      <c r="C14" s="7" t="s">
        <v>18</v>
      </c>
      <c r="D14" s="7" t="s">
        <v>19</v>
      </c>
      <c r="E14" s="2"/>
      <c r="F14" s="4" t="str">
        <f>Inventory!G1</f>
        <v>Quantity In Stock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11"/>
    </row>
    <row r="15" spans="1:17">
      <c r="A15" s="8"/>
      <c r="B15" s="8"/>
      <c r="C15" s="9" t="str">
        <f>IFERROR(VLOOKUP(A15,Inventory!$A$2:$CL$9341,3,FALSE), "")</f>
        <v/>
      </c>
      <c r="D15" s="9" t="str">
        <f>IF(AND(ISNUMBER(B15), ISNUMBER(C15)), B15*C15, "")</f>
        <v/>
      </c>
      <c r="E15" s="2"/>
      <c r="F15" s="28" t="str">
        <f>IFERROR(VLOOKUP(A15,Inventory!$A$2:$CL$9341,7,FALSE), "")</f>
        <v/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11"/>
    </row>
    <row r="16" spans="1:17">
      <c r="A16" s="8"/>
      <c r="B16" s="8"/>
      <c r="C16" s="9" t="str">
        <f>IFERROR(VLOOKUP(A16,Inventory!$A$2:$CL$9341,3,FALSE), "")</f>
        <v/>
      </c>
      <c r="D16" s="9" t="str">
        <f>IF(AND(ISNUMBER(B16), ISNUMBER(C16)), B16*C16, "")</f>
        <v/>
      </c>
      <c r="E16" s="2"/>
      <c r="F16" s="28" t="str">
        <f>IFERROR(VLOOKUP(A16,Inventory!$A$2:$CL$9341,7,FALSE), "")</f>
        <v/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11"/>
    </row>
    <row r="17" spans="1:17">
      <c r="A17" s="8"/>
      <c r="B17" s="8"/>
      <c r="C17" s="9" t="str">
        <f>IFERROR(VLOOKUP(A17,Inventory!$A$2:$CL$9341,3,FALSE), "")</f>
        <v/>
      </c>
      <c r="D17" s="9" t="str">
        <f>IF(AND(ISNUMBER(B17), ISNUMBER(C17)), B17*C17, "")</f>
        <v/>
      </c>
      <c r="E17" s="2"/>
      <c r="F17" s="28" t="str">
        <f>IFERROR(VLOOKUP(A17,Inventory!$A$2:$CL$9341,7,FALSE), "")</f>
        <v/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11"/>
    </row>
    <row r="18" spans="1:17">
      <c r="A18" s="8"/>
      <c r="B18" s="8"/>
      <c r="C18" s="9" t="str">
        <f>IFERROR(VLOOKUP(A18,Inventory!$A$2:$CL$9341,3,FALSE), "")</f>
        <v/>
      </c>
      <c r="D18" s="9" t="str">
        <f>IF(AND(ISNUMBER(B18), ISNUMBER(C18)), B18*C18, "")</f>
        <v/>
      </c>
      <c r="E18" s="2"/>
      <c r="F18" s="28" t="str">
        <f>IFERROR(VLOOKUP(A18,Inventory!$A$2:$CL$9341,7,FALSE), "")</f>
        <v/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11"/>
    </row>
    <row r="19" spans="1:17">
      <c r="A19" s="8"/>
      <c r="B19" s="8"/>
      <c r="C19" s="9" t="str">
        <f>IFERROR(VLOOKUP(A19,Inventory!$A$2:$CL$9341,3,FALSE), "")</f>
        <v/>
      </c>
      <c r="D19" s="9" t="str">
        <f>IF(AND(ISNUMBER(B19), ISNUMBER(C19)), B19*C19, "")</f>
        <v/>
      </c>
      <c r="E19" s="2"/>
      <c r="F19" s="28" t="str">
        <f>IFERROR(VLOOKUP(A19,Inventory!$A$2:$CL$9341,7,FALSE), "")</f>
        <v/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11"/>
    </row>
    <row r="20" spans="1:17">
      <c r="A20" s="8"/>
      <c r="B20" s="8"/>
      <c r="C20" s="9" t="str">
        <f>IFERROR(VLOOKUP(A20,Inventory!$A$2:$CL$9341,3,FALSE), "")</f>
        <v/>
      </c>
      <c r="D20" s="9" t="str">
        <f>IF(AND(ISNUMBER(B20), ISNUMBER(C20)), B20*C20, "")</f>
        <v/>
      </c>
      <c r="E20" s="2"/>
      <c r="F20" s="28" t="str">
        <f>IFERROR(VLOOKUP(A20,Inventory!$A$2:$CL$9341,7,FALSE), "")</f>
        <v/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11"/>
    </row>
    <row r="21" spans="1:17">
      <c r="A21" s="8"/>
      <c r="B21" s="8"/>
      <c r="C21" s="9" t="str">
        <f>IFERROR(VLOOKUP(A21,Inventory!$A$2:$CL$9341,3,FALSE), "")</f>
        <v/>
      </c>
      <c r="D21" s="9" t="str">
        <f>IF(AND(ISNUMBER(B21), ISNUMBER(C21)), B21*C21, "")</f>
        <v/>
      </c>
      <c r="E21" s="2"/>
      <c r="F21" s="28" t="str">
        <f>IFERROR(VLOOKUP(A21,Inventory!$A$2:$CL$9341,7,FALSE), "")</f>
        <v/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11"/>
    </row>
    <row r="22" spans="1:17">
      <c r="A22" s="8"/>
      <c r="B22" s="8"/>
      <c r="C22" s="9" t="str">
        <f>IFERROR(VLOOKUP(A22,Inventory!$A$2:$CL$9341,3,FALSE), "")</f>
        <v/>
      </c>
      <c r="D22" s="9" t="str">
        <f>IF(AND(ISNUMBER(B22), ISNUMBER(C22)), B22*C22, "")</f>
        <v/>
      </c>
      <c r="E22" s="2"/>
      <c r="F22" s="28" t="str">
        <f>IFERROR(VLOOKUP(A22,Inventory!$A$2:$CL$9341,7,FALSE), "")</f>
        <v/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11"/>
    </row>
    <row r="23" spans="1:17">
      <c r="A23" s="8"/>
      <c r="B23" s="8"/>
      <c r="C23" s="9" t="str">
        <f>IFERROR(VLOOKUP(A23,Inventory!$A$2:$CL$9341,3,FALSE), "")</f>
        <v/>
      </c>
      <c r="D23" s="9" t="str">
        <f>IF(AND(ISNUMBER(B23), ISNUMBER(C23)), B23*C23, "")</f>
        <v/>
      </c>
      <c r="E23" s="2"/>
      <c r="F23" s="28" t="str">
        <f>IFERROR(VLOOKUP(A23,Inventory!$A$2:$CL$9341,7,FALSE), "")</f>
        <v/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11"/>
    </row>
    <row r="24" spans="1:17">
      <c r="A24" s="8"/>
      <c r="B24" s="8"/>
      <c r="C24" s="9" t="str">
        <f>IFERROR(VLOOKUP(A24,Inventory!$A$2:$CL$9341,3,FALSE), "")</f>
        <v/>
      </c>
      <c r="D24" s="9" t="str">
        <f>IF(AND(ISNUMBER(B24), ISNUMBER(C24)), B24*C24, "")</f>
        <v/>
      </c>
      <c r="E24" s="2"/>
      <c r="F24" s="28" t="str">
        <f>IFERROR(VLOOKUP(A24,Inventory!$A$2:$CL$9341,7,FALSE), "")</f>
        <v/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11"/>
    </row>
    <row r="25" spans="1:17">
      <c r="A25" s="2"/>
      <c r="B25" s="2"/>
      <c r="C25" s="2"/>
      <c r="D25" s="2"/>
      <c r="E25" s="2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1"/>
    </row>
    <row r="26" spans="1:17" ht="13">
      <c r="A26" s="2"/>
      <c r="B26" s="2"/>
      <c r="C26" s="3" t="s">
        <v>20</v>
      </c>
      <c r="D26" s="10">
        <f>SUM(D15:D24)</f>
        <v>0</v>
      </c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11"/>
    </row>
    <row r="27" spans="1:17" ht="13">
      <c r="A27" s="2"/>
      <c r="B27" s="2"/>
      <c r="C27" s="3" t="s">
        <v>21</v>
      </c>
      <c r="D27" s="10">
        <f>D26*0.1</f>
        <v>0</v>
      </c>
      <c r="E27" s="2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11"/>
    </row>
    <row r="28" spans="1:17" ht="13">
      <c r="A28" s="2"/>
      <c r="B28" s="2"/>
      <c r="C28" s="3" t="s">
        <v>22</v>
      </c>
      <c r="D28" s="10">
        <f>D26+D27</f>
        <v>0</v>
      </c>
      <c r="E28" s="2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11"/>
    </row>
    <row r="29" spans="1:17">
      <c r="A29" s="2"/>
      <c r="B29" s="2"/>
      <c r="C29" s="2"/>
      <c r="D29" s="2"/>
      <c r="E29" s="2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11"/>
    </row>
    <row r="30" spans="1:17" ht="13">
      <c r="A30" s="34" t="s">
        <v>23</v>
      </c>
      <c r="B30" s="31"/>
      <c r="C30" s="31"/>
      <c r="D30" s="31"/>
      <c r="E30" s="3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11"/>
    </row>
    <row r="31" spans="1:17">
      <c r="A31" s="33" t="s">
        <v>24</v>
      </c>
      <c r="B31" s="31"/>
      <c r="C31" s="31"/>
      <c r="D31" s="31"/>
      <c r="E31" s="3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11"/>
    </row>
    <row r="32" spans="1:17" ht="13">
      <c r="A32" s="29" t="s">
        <v>25</v>
      </c>
      <c r="B32" s="23" t="s">
        <v>26</v>
      </c>
      <c r="C32" s="23" t="s">
        <v>27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11"/>
    </row>
    <row r="33" spans="1:17">
      <c r="A33" s="26"/>
      <c r="B33" s="4"/>
      <c r="C33" s="2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11"/>
    </row>
    <row r="34" spans="1:17">
      <c r="A34" s="12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11"/>
    </row>
    <row r="35" spans="1:17">
      <c r="A35" s="12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11"/>
    </row>
    <row r="36" spans="1:17">
      <c r="A36" s="1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11"/>
    </row>
    <row r="37" spans="1:17">
      <c r="A37" s="1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11"/>
    </row>
    <row r="38" spans="1:17">
      <c r="A38" s="12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11"/>
    </row>
    <row r="39" spans="1:17">
      <c r="A39" s="12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11"/>
    </row>
    <row r="40" spans="1:17">
      <c r="A40" s="12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11"/>
    </row>
    <row r="41" spans="1:17">
      <c r="A41" s="12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11"/>
    </row>
    <row r="42" spans="1:17">
      <c r="A42" s="1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11"/>
    </row>
    <row r="43" spans="1:17">
      <c r="A43" s="1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11"/>
    </row>
    <row r="44" spans="1:17">
      <c r="A44" s="12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11"/>
    </row>
    <row r="45" spans="1:17">
      <c r="A45" s="1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11"/>
    </row>
    <row r="46" spans="1:17">
      <c r="A46" s="1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11"/>
    </row>
    <row r="47" spans="1:17">
      <c r="A47" s="12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11"/>
    </row>
    <row r="48" spans="1:17">
      <c r="A48" s="13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5"/>
    </row>
  </sheetData>
  <mergeCells count="13">
    <mergeCell ref="A10:B10"/>
    <mergeCell ref="D10:E10"/>
    <mergeCell ref="A11:B11"/>
    <mergeCell ref="A12:B12"/>
    <mergeCell ref="A30:E30"/>
    <mergeCell ref="A31:E31"/>
    <mergeCell ref="A3:E3"/>
    <mergeCell ref="A4:E4"/>
    <mergeCell ref="A5:E5"/>
    <mergeCell ref="A6:E6"/>
    <mergeCell ref="A7:E7"/>
    <mergeCell ref="A9:B9"/>
    <mergeCell ref="D9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itInvoices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17</xdr:col>
                    <xdr:colOff>50800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C8B38039-27A9-44C3-8196-9971626AA197}">
          <x14:formula1>
            <xm:f>Inventory!$A:$A</xm:f>
          </x14:formula1>
          <xm:sqref>A15:A24</xm:sqref>
        </x14:dataValidation>
        <x14:dataValidation type="list" allowBlank="1" showErrorMessage="1" xr:uid="{A6A2DE51-F49B-4EEE-99C7-B7D66245D466}">
          <x14:formula1>
            <xm:f>contacts!$A:$A</xm:f>
          </x14:formula1>
          <xm:sqref>A10:B10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10544-3DBC-46ED-8766-89ACDDA4A281}">
  <sheetPr codeName="Sheet7"/>
  <dimension ref="A1:Q200"/>
  <sheetViews>
    <sheetView showZeros="0" workbookViewId="0">
      <selection activeCell="B2" sqref="B2:L2"/>
    </sheetView>
  </sheetViews>
  <sheetFormatPr defaultRowHeight="12.5"/>
  <cols>
    <col min="1" max="1" width="35.7265625" customWidth="1"/>
  </cols>
  <sheetData>
    <row r="1" spans="1:17">
      <c r="A1" s="46">
        <f>InvoicesView_Print!B2</f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 t="str">
        <f>InvoicesInput!M1</f>
        <v>Update 1</v>
      </c>
      <c r="N1" s="46" t="str">
        <f>InvoicesInput!N1</f>
        <v>Update 2</v>
      </c>
      <c r="O1" s="46" t="str">
        <f>InvoicesInput!O1</f>
        <v>Update 3</v>
      </c>
      <c r="P1" s="46"/>
      <c r="Q1" s="46"/>
    </row>
    <row r="2" spans="1:17">
      <c r="A2" s="46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t="e">
        <f>VLOOKUP(A1,InvoicesUpdate!$A$1:$P$1000000,2,FALSE)</f>
        <v>#N/A</v>
      </c>
      <c r="N2" t="e">
        <f>VLOOKUP(A1,InvoicesUpdate!$A$1:$P$1000000,3,FALSE)</f>
        <v>#N/A</v>
      </c>
      <c r="O2" t="e">
        <f>VLOOKUP(A1,InvoicesUpdate!$A$1:$P$1000000,4,FALSE)</f>
        <v>#N/A</v>
      </c>
      <c r="P2" s="46"/>
      <c r="Q2" s="46"/>
    </row>
    <row r="3" spans="1:17" ht="20">
      <c r="A3" s="32" t="e">
        <f>VLOOKUP(A1,InvoicesData!$A$1:$DZU$1000000,36,FALSE)</f>
        <v>#N/A</v>
      </c>
      <c r="B3" s="31"/>
      <c r="C3" s="31"/>
      <c r="D3" s="31"/>
      <c r="E3" s="31"/>
      <c r="F3" s="4" t="e">
        <f>VLOOKUP(A1,InvoicesData!$A$1:$DZU$1000000,41,FALSE)</f>
        <v>#N/A</v>
      </c>
      <c r="G3" s="4" t="e">
        <f>VLOOKUP(A1,InvoicesData!$A$1:$DZU$1000000,42,FALSE)</f>
        <v>#N/A</v>
      </c>
      <c r="H3" s="4" t="e">
        <f>VLOOKUP(A1,InvoicesData!$A$1:$DZU$1000000,43,FALSE)</f>
        <v>#N/A</v>
      </c>
      <c r="I3" s="4" t="e">
        <f>VLOOKUP(A1,InvoicesData!$A$1:$DZU$1000000,44,FALSE)</f>
        <v>#N/A</v>
      </c>
      <c r="J3" s="4" t="e">
        <f>VLOOKUP(A1,InvoicesData!$A$1:$DZU$1000000,45,FALSE)</f>
        <v>#N/A</v>
      </c>
      <c r="K3" s="4" t="e">
        <f>VLOOKUP(A1,InvoicesData!$A$1:$DZU$1000000,46,FALSE)</f>
        <v>#N/A</v>
      </c>
      <c r="L3" s="4" t="e">
        <f>VLOOKUP(A1,InvoicesData!$A$1:$DZU$1000000,47,FALSE)</f>
        <v>#N/A</v>
      </c>
      <c r="M3" s="4" t="e">
        <f>VLOOKUP(A1,InvoicesData!$A$1:$DZU$1000000,48,FALSE)</f>
        <v>#N/A</v>
      </c>
      <c r="N3" s="4" t="e">
        <f>VLOOKUP(A1,InvoicesData!$A$1:$DZU$1000000,49,FALSE)</f>
        <v>#N/A</v>
      </c>
      <c r="O3" s="4" t="e">
        <f>VLOOKUP(A1,InvoicesData!$A$1:$DZU$1000000,50,FALSE)</f>
        <v>#N/A</v>
      </c>
      <c r="P3" s="4" t="e">
        <f>VLOOKUP(A1,InvoicesData!$A$1:$DZU$1000000,51,FALSE)</f>
        <v>#N/A</v>
      </c>
      <c r="Q3" s="11" t="e">
        <f>VLOOKUP(A1,InvoicesData!$A$1:$DZU$1000000,52,FALSE)</f>
        <v>#N/A</v>
      </c>
    </row>
    <row r="4" spans="1:17">
      <c r="A4" s="30" t="e">
        <f>VLOOKUP(A1,InvoicesData!$A$1:$DZU$1000000,53,FALSE)</f>
        <v>#N/A</v>
      </c>
      <c r="B4" s="31"/>
      <c r="C4" s="31"/>
      <c r="D4" s="31"/>
      <c r="E4" s="31"/>
      <c r="F4" s="4" t="e">
        <f>VLOOKUP(A1,InvoicesData!$A$1:$DZU$1000000,58,FALSE)</f>
        <v>#N/A</v>
      </c>
      <c r="G4" s="4" t="e">
        <f>VLOOKUP(A1,InvoicesData!$A$1:$DZU$1000000,59,FALSE)</f>
        <v>#N/A</v>
      </c>
      <c r="H4" s="4" t="e">
        <f>VLOOKUP(A1,InvoicesData!$A$1:$DZU$1000000,60,FALSE)</f>
        <v>#N/A</v>
      </c>
      <c r="I4" s="4" t="e">
        <f>VLOOKUP(A1,InvoicesData!$A$1:$DZU$1000000,61,FALSE)</f>
        <v>#N/A</v>
      </c>
      <c r="J4" s="4" t="e">
        <f>VLOOKUP(A1,InvoicesData!$A$1:$DZU$1000000,62,FALSE)</f>
        <v>#N/A</v>
      </c>
      <c r="K4" s="4" t="e">
        <f>VLOOKUP(A1,InvoicesData!$A$1:$DZU$1000000,63,FALSE)</f>
        <v>#N/A</v>
      </c>
      <c r="L4" s="4" t="e">
        <f>VLOOKUP(A1,InvoicesData!$A$1:$DZU$1000000,64,FALSE)</f>
        <v>#N/A</v>
      </c>
      <c r="M4" s="4" t="e">
        <f>VLOOKUP(A1,InvoicesData!$A$1:$DZU$1000000,65,FALSE)</f>
        <v>#N/A</v>
      </c>
      <c r="N4" s="4" t="e">
        <f>VLOOKUP(A1,InvoicesData!$A$1:$DZU$1000000,66,FALSE)</f>
        <v>#N/A</v>
      </c>
      <c r="O4" s="4" t="e">
        <f>VLOOKUP(A1,InvoicesData!$A$1:$DZU$1000000,67,FALSE)</f>
        <v>#N/A</v>
      </c>
      <c r="P4" s="4" t="e">
        <f>VLOOKUP(A1,InvoicesData!$A$1:$DZU$1000000,68,FALSE)</f>
        <v>#N/A</v>
      </c>
      <c r="Q4" s="11" t="e">
        <f>VLOOKUP(A1,InvoicesData!$A$1:$DZU$1000000,69,FALSE)</f>
        <v>#N/A</v>
      </c>
    </row>
    <row r="5" spans="1:17">
      <c r="A5" s="30" t="e">
        <f>VLOOKUP(A1,InvoicesData!$A$1:$DZU$1000000,70,FALSE)</f>
        <v>#N/A</v>
      </c>
      <c r="B5" s="31"/>
      <c r="C5" s="31"/>
      <c r="D5" s="31"/>
      <c r="E5" s="31"/>
      <c r="F5" s="4" t="e">
        <f>VLOOKUP(A1,InvoicesData!$A$1:$DZU$1000000,75,FALSE)</f>
        <v>#N/A</v>
      </c>
      <c r="G5" s="4" t="e">
        <f>VLOOKUP(A1,InvoicesData!$A$1:$DZU$1000000,76,FALSE)</f>
        <v>#N/A</v>
      </c>
      <c r="H5" s="4" t="e">
        <f>VLOOKUP(A1,InvoicesData!$A$1:$DZU$1000000,77,FALSE)</f>
        <v>#N/A</v>
      </c>
      <c r="I5" s="4" t="e">
        <f>VLOOKUP(A1,InvoicesData!$A$1:$DZU$1000000,78,FALSE)</f>
        <v>#N/A</v>
      </c>
      <c r="J5" s="4" t="e">
        <f>VLOOKUP(A1,InvoicesData!$A$1:$DZU$1000000,79,FALSE)</f>
        <v>#N/A</v>
      </c>
      <c r="K5" s="4" t="e">
        <f>VLOOKUP(A1,InvoicesData!$A$1:$DZU$1000000,80,FALSE)</f>
        <v>#N/A</v>
      </c>
      <c r="L5" s="4" t="e">
        <f>VLOOKUP(A1,InvoicesData!$A$1:$DZU$1000000,81,FALSE)</f>
        <v>#N/A</v>
      </c>
      <c r="M5" s="4" t="e">
        <f>VLOOKUP(A1,InvoicesData!$A$1:$DZU$1000000,82,FALSE)</f>
        <v>#N/A</v>
      </c>
      <c r="N5" s="4" t="e">
        <f>VLOOKUP(A1,InvoicesData!$A$1:$DZU$1000000,83,FALSE)</f>
        <v>#N/A</v>
      </c>
      <c r="O5" s="4" t="e">
        <f>VLOOKUP(A1,InvoicesData!$A$1:$DZU$1000000,84,FALSE)</f>
        <v>#N/A</v>
      </c>
      <c r="P5" s="4" t="e">
        <f>VLOOKUP(A1,InvoicesData!$A$1:$DZU$1000000,85,FALSE)</f>
        <v>#N/A</v>
      </c>
      <c r="Q5" s="11" t="e">
        <f>VLOOKUP(A1,InvoicesData!$A$1:$DZU$1000000,86,FALSE)</f>
        <v>#N/A</v>
      </c>
    </row>
    <row r="6" spans="1:17">
      <c r="A6" s="30" t="e">
        <f>VLOOKUP(A1,InvoicesData!$A$1:$DZU$1000000,87,FALSE)</f>
        <v>#N/A</v>
      </c>
      <c r="B6" s="31"/>
      <c r="C6" s="31"/>
      <c r="D6" s="31"/>
      <c r="E6" s="31"/>
      <c r="F6" s="4" t="e">
        <f>VLOOKUP(A1,InvoicesData!$A$1:$DZU$1000000,92,FALSE)</f>
        <v>#N/A</v>
      </c>
      <c r="G6" s="4" t="e">
        <f>VLOOKUP(A1,InvoicesData!$A$1:$DZU$1000000,93,FALSE)</f>
        <v>#N/A</v>
      </c>
      <c r="H6" s="4" t="e">
        <f>VLOOKUP(A1,InvoicesData!$A$1:$DZU$1000000,94,FALSE)</f>
        <v>#N/A</v>
      </c>
      <c r="I6" s="4" t="e">
        <f>VLOOKUP(A1,InvoicesData!$A$1:$DZU$1000000,95,FALSE)</f>
        <v>#N/A</v>
      </c>
      <c r="J6" s="4" t="e">
        <f>VLOOKUP(A1,InvoicesData!$A$1:$DZU$1000000,96,FALSE)</f>
        <v>#N/A</v>
      </c>
      <c r="K6" s="4" t="e">
        <f>VLOOKUP(A1,InvoicesData!$A$1:$DZU$1000000,97,FALSE)</f>
        <v>#N/A</v>
      </c>
      <c r="L6" s="4" t="e">
        <f>VLOOKUP(A1,InvoicesData!$A$1:$DZU$1000000,98,FALSE)</f>
        <v>#N/A</v>
      </c>
      <c r="M6" s="4" t="e">
        <f>VLOOKUP(A1,InvoicesData!$A$1:$DZU$1000000,99,FALSE)</f>
        <v>#N/A</v>
      </c>
      <c r="N6" s="4" t="e">
        <f>VLOOKUP(A1,InvoicesData!$A$1:$DZU$1000000,100,FALSE)</f>
        <v>#N/A</v>
      </c>
      <c r="O6" s="4" t="e">
        <f>VLOOKUP(A1,InvoicesData!$A$1:$DZU$1000000,101,FALSE)</f>
        <v>#N/A</v>
      </c>
      <c r="P6" s="4" t="e">
        <f>VLOOKUP(A1,InvoicesData!$A$1:$DZU$1000000,102,FALSE)</f>
        <v>#N/A</v>
      </c>
      <c r="Q6" s="11" t="e">
        <f>VLOOKUP(A1,InvoicesData!$A$1:$DZU$1000000,103,FALSE)</f>
        <v>#N/A</v>
      </c>
    </row>
    <row r="7" spans="1:17" ht="18">
      <c r="A7" s="35" t="e">
        <f>VLOOKUP(A1,InvoicesData!$A$1:$DZU$1000000,104,FALSE)</f>
        <v>#N/A</v>
      </c>
      <c r="B7" s="31"/>
      <c r="C7" s="31"/>
      <c r="D7" s="31"/>
      <c r="E7" s="31"/>
      <c r="F7" s="4" t="e">
        <f>VLOOKUP(A1,InvoicesData!$A$1:$DZU$1000000,109,FALSE)</f>
        <v>#N/A</v>
      </c>
      <c r="G7" s="4" t="e">
        <f>VLOOKUP(A1,InvoicesData!$A$1:$DZU$1000000,110,FALSE)</f>
        <v>#N/A</v>
      </c>
      <c r="H7" s="4" t="e">
        <f>VLOOKUP(A1,InvoicesData!$A$1:$DZU$1000000,111,FALSE)</f>
        <v>#N/A</v>
      </c>
      <c r="I7" s="4" t="e">
        <f>VLOOKUP(A1,InvoicesData!$A$1:$DZU$1000000,112,FALSE)</f>
        <v>#N/A</v>
      </c>
      <c r="J7" s="4" t="e">
        <f>VLOOKUP(A1,InvoicesData!$A$1:$DZU$1000000,113,FALSE)</f>
        <v>#N/A</v>
      </c>
      <c r="K7" s="4" t="e">
        <f>VLOOKUP(A1,InvoicesData!$A$1:$DZU$1000000,114,FALSE)</f>
        <v>#N/A</v>
      </c>
      <c r="L7" s="4" t="e">
        <f>VLOOKUP(A1,InvoicesData!$A$1:$DZU$1000000,115,FALSE)</f>
        <v>#N/A</v>
      </c>
      <c r="M7" s="4" t="e">
        <f>VLOOKUP(A1,InvoicesData!$A$1:$DZU$1000000,116,FALSE)</f>
        <v>#N/A</v>
      </c>
      <c r="N7" s="4" t="e">
        <f>VLOOKUP(A1,InvoicesData!$A$1:$DZU$1000000,117,FALSE)</f>
        <v>#N/A</v>
      </c>
      <c r="O7" s="4" t="e">
        <f>VLOOKUP(A1,InvoicesData!$A$1:$DZU$1000000,118,FALSE)</f>
        <v>#N/A</v>
      </c>
      <c r="P7" s="4" t="e">
        <f>VLOOKUP(A1,InvoicesData!$A$1:$DZU$1000000,119,FALSE)</f>
        <v>#N/A</v>
      </c>
      <c r="Q7" s="11" t="e">
        <f>VLOOKUP(A1,InvoicesData!$A$1:$DZU$1000000,120,FALSE)</f>
        <v>#N/A</v>
      </c>
    </row>
    <row r="8" spans="1:17" ht="13">
      <c r="A8" s="1" t="e">
        <f>VLOOKUP(A1,InvoicesData!$A$1:$DZU$1000000,121,FALSE)</f>
        <v>#N/A</v>
      </c>
      <c r="B8" s="2" t="e">
        <f>VLOOKUP(A1,InvoicesData!$A$1:$DZU$1000000,122,FALSE)</f>
        <v>#N/A</v>
      </c>
      <c r="C8" s="2" t="e">
        <f>VLOOKUP(A1,InvoicesData!$A$1:$DZU$1000000,123,FALSE)</f>
        <v>#N/A</v>
      </c>
      <c r="D8" s="2" t="e">
        <f>VLOOKUP(A1,InvoicesData!$A$1:$DZU$1000000,124,FALSE)</f>
        <v>#N/A</v>
      </c>
      <c r="E8" s="2" t="e">
        <f>VLOOKUP(A1,InvoicesData!$A$1:$DZU$1000000,125,FALSE)</f>
        <v>#N/A</v>
      </c>
      <c r="F8" s="4" t="e">
        <f>VLOOKUP(A1,InvoicesData!$A$1:$DZU$1000000,126,FALSE)</f>
        <v>#N/A</v>
      </c>
      <c r="G8" s="4" t="e">
        <f>VLOOKUP(A1,InvoicesData!$A$1:$DZU$1000000,127,FALSE)</f>
        <v>#N/A</v>
      </c>
      <c r="H8" s="4" t="e">
        <f>VLOOKUP(A1,InvoicesData!$A$1:$DZU$1000000,128,FALSE)</f>
        <v>#N/A</v>
      </c>
      <c r="I8" s="4" t="e">
        <f>VLOOKUP(A1,InvoicesData!$A$1:$DZU$1000000,129,FALSE)</f>
        <v>#N/A</v>
      </c>
      <c r="J8" s="4" t="e">
        <f>VLOOKUP(A1,InvoicesData!$A$1:$DZU$1000000,130,FALSE)</f>
        <v>#N/A</v>
      </c>
      <c r="K8" s="4" t="e">
        <f>VLOOKUP(A1,InvoicesData!$A$1:$DZU$1000000,131,FALSE)</f>
        <v>#N/A</v>
      </c>
      <c r="L8" s="4" t="e">
        <f>VLOOKUP(A1,InvoicesData!$A$1:$DZU$1000000,132,FALSE)</f>
        <v>#N/A</v>
      </c>
      <c r="M8" s="4" t="e">
        <f>VLOOKUP(A1,InvoicesData!$A$1:$DZU$1000000,133,FALSE)</f>
        <v>#N/A</v>
      </c>
      <c r="N8" s="4" t="e">
        <f>VLOOKUP(A1,InvoicesData!$A$1:$DZU$1000000,134,FALSE)</f>
        <v>#N/A</v>
      </c>
      <c r="O8" s="4" t="e">
        <f>VLOOKUP(A1,InvoicesData!$A$1:$DZU$1000000,135,FALSE)</f>
        <v>#N/A</v>
      </c>
      <c r="P8" s="4" t="e">
        <f>VLOOKUP(A1,InvoicesData!$A$1:$DZU$1000000,136,FALSE)</f>
        <v>#N/A</v>
      </c>
      <c r="Q8" s="11" t="e">
        <f>VLOOKUP(A1,InvoicesData!$A$1:$DZU$1000000,137,FALSE)</f>
        <v>#N/A</v>
      </c>
    </row>
    <row r="9" spans="1:17" ht="13">
      <c r="A9" s="34" t="e">
        <f>VLOOKUP(A1,InvoicesData!$A$1:$DZU$1000000,138,FALSE)</f>
        <v>#N/A</v>
      </c>
      <c r="B9" s="31"/>
      <c r="C9" s="2" t="e">
        <f>VLOOKUP(A1,InvoicesData!$A$1:$DZU$1000000,140,FALSE)</f>
        <v>#N/A</v>
      </c>
      <c r="D9" s="36" t="e">
        <f>VLOOKUP(A1,InvoicesData!$A$1:$DZU$1000000,141,FALSE)</f>
        <v>#N/A</v>
      </c>
      <c r="E9" s="31"/>
      <c r="F9" s="4" t="e">
        <f>VLOOKUP(A1,InvoicesData!$A$1:$DZU$1000000,143,FALSE)</f>
        <v>#N/A</v>
      </c>
      <c r="G9" s="4" t="e">
        <f>VLOOKUP(A1,InvoicesData!$A$1:$DZU$1000000,144,FALSE)</f>
        <v>#N/A</v>
      </c>
      <c r="H9" s="4" t="e">
        <f>VLOOKUP(A1,InvoicesData!$A$1:$DZU$1000000,145,FALSE)</f>
        <v>#N/A</v>
      </c>
      <c r="I9" s="4" t="e">
        <f>VLOOKUP(A1,InvoicesData!$A$1:$DZU$1000000,146,FALSE)</f>
        <v>#N/A</v>
      </c>
      <c r="J9" s="4" t="e">
        <f>VLOOKUP(A1,InvoicesData!$A$1:$DZU$1000000,147,FALSE)</f>
        <v>#N/A</v>
      </c>
      <c r="K9" s="4" t="e">
        <f>VLOOKUP(A1,InvoicesData!$A$1:$DZU$1000000,148,FALSE)</f>
        <v>#N/A</v>
      </c>
      <c r="L9" s="4" t="e">
        <f>VLOOKUP(A1,InvoicesData!$A$1:$DZU$1000000,149,FALSE)</f>
        <v>#N/A</v>
      </c>
      <c r="M9" s="4" t="e">
        <f>VLOOKUP(A1,InvoicesData!$A$1:$DZU$1000000,150,FALSE)</f>
        <v>#N/A</v>
      </c>
      <c r="N9" s="4" t="e">
        <f>VLOOKUP(A1,InvoicesData!$A$1:$DZU$1000000,151,FALSE)</f>
        <v>#N/A</v>
      </c>
      <c r="O9" s="4" t="e">
        <f>VLOOKUP(A1,InvoicesData!$A$1:$DZU$1000000,152,FALSE)</f>
        <v>#N/A</v>
      </c>
      <c r="P9" s="4" t="e">
        <f>VLOOKUP(A1,InvoicesData!$A$1:$DZU$1000000,153,FALSE)</f>
        <v>#N/A</v>
      </c>
      <c r="Q9" s="11" t="e">
        <f>VLOOKUP(A1,InvoicesData!$A$1:$DZU$1000000,154,FALSE)</f>
        <v>#N/A</v>
      </c>
    </row>
    <row r="10" spans="1:17">
      <c r="A10" s="37" t="e">
        <f>VLOOKUP(A1,InvoicesData!$A$1:$DZU$1000000,155,FALSE)</f>
        <v>#N/A</v>
      </c>
      <c r="B10" s="37"/>
      <c r="C10" s="2" t="e">
        <f>VLOOKUP(A1,InvoicesData!$A$1:$DZU$1000000,157,FALSE)</f>
        <v>#N/A</v>
      </c>
      <c r="D10" s="38" t="e">
        <f>VLOOKUP(A1,InvoicesData!$A$1:$DZU$1000000,158,FALSE)</f>
        <v>#N/A</v>
      </c>
      <c r="E10" s="31"/>
      <c r="F10" s="4" t="e">
        <f>VLOOKUP(A1,InvoicesData!$A$1:$DZU$1000000,160,FALSE)</f>
        <v>#N/A</v>
      </c>
      <c r="G10" s="4" t="e">
        <f>VLOOKUP(A1,InvoicesData!$A$1:$DZU$1000000,161,FALSE)</f>
        <v>#N/A</v>
      </c>
      <c r="H10" s="4" t="e">
        <f>VLOOKUP(A1,InvoicesData!$A$1:$DZU$1000000,162,FALSE)</f>
        <v>#N/A</v>
      </c>
      <c r="I10" s="4" t="e">
        <f>VLOOKUP(A1,InvoicesData!$A$1:$DZU$1000000,163,FALSE)</f>
        <v>#N/A</v>
      </c>
      <c r="J10" s="4" t="e">
        <f>VLOOKUP(A1,InvoicesData!$A$1:$DZU$1000000,164,FALSE)</f>
        <v>#N/A</v>
      </c>
      <c r="K10" s="4" t="e">
        <f>VLOOKUP(A1,InvoicesData!$A$1:$DZU$1000000,165,FALSE)</f>
        <v>#N/A</v>
      </c>
      <c r="L10" s="4" t="e">
        <f>VLOOKUP(A1,InvoicesData!$A$1:$DZU$1000000,166,FALSE)</f>
        <v>#N/A</v>
      </c>
      <c r="M10" s="4" t="e">
        <f>VLOOKUP(A1,InvoicesData!$A$1:$DZU$1000000,167,FALSE)</f>
        <v>#N/A</v>
      </c>
      <c r="N10" s="4" t="e">
        <f>VLOOKUP(A1,InvoicesData!$A$1:$DZU$1000000,168,FALSE)</f>
        <v>#N/A</v>
      </c>
      <c r="O10" s="4" t="e">
        <f>VLOOKUP(A1,InvoicesData!$A$1:$DZU$1000000,169,FALSE)</f>
        <v>#N/A</v>
      </c>
      <c r="P10" s="4" t="e">
        <f>VLOOKUP(A1,InvoicesData!$A$1:$DZU$1000000,170,FALSE)</f>
        <v>#N/A</v>
      </c>
      <c r="Q10" s="11" t="e">
        <f>VLOOKUP(A1,InvoicesData!$A$1:$DZU$1000000,171,FALSE)</f>
        <v>#N/A</v>
      </c>
    </row>
    <row r="11" spans="1:17">
      <c r="A11" s="33" t="e">
        <f>VLOOKUP(A1,InvoicesData!$A$1:$DZU$1000000,172,FALSE)</f>
        <v>#N/A</v>
      </c>
      <c r="B11" s="31"/>
      <c r="C11" s="2" t="e">
        <f>VLOOKUP(A1,InvoicesData!$A$1:$DZU$1000000,174,FALSE)</f>
        <v>#N/A</v>
      </c>
      <c r="D11" s="2" t="e">
        <f>VLOOKUP(A1,InvoicesData!$A$1:$DZU$1000000,175,FALSE)</f>
        <v>#N/A</v>
      </c>
      <c r="E11" s="2" t="e">
        <f>VLOOKUP(A1,InvoicesData!$A$1:$DZU$1000000,176,FALSE)</f>
        <v>#N/A</v>
      </c>
      <c r="F11" s="4" t="e">
        <f>VLOOKUP(A1,InvoicesData!$A$1:$DZU$1000000,177,FALSE)</f>
        <v>#N/A</v>
      </c>
      <c r="G11" s="4" t="e">
        <f>VLOOKUP(A1,InvoicesData!$A$1:$DZU$1000000,178,FALSE)</f>
        <v>#N/A</v>
      </c>
      <c r="H11" s="4" t="e">
        <f>VLOOKUP(A1,InvoicesData!$A$1:$DZU$1000000,179,FALSE)</f>
        <v>#N/A</v>
      </c>
      <c r="I11" s="4" t="e">
        <f>VLOOKUP(A1,InvoicesData!$A$1:$DZU$1000000,180,FALSE)</f>
        <v>#N/A</v>
      </c>
      <c r="J11" s="4" t="e">
        <f>VLOOKUP(A1,InvoicesData!$A$1:$DZU$1000000,181,FALSE)</f>
        <v>#N/A</v>
      </c>
      <c r="K11" s="4" t="e">
        <f>VLOOKUP(A1,InvoicesData!$A$1:$DZU$1000000,182,FALSE)</f>
        <v>#N/A</v>
      </c>
      <c r="L11" s="4" t="e">
        <f>VLOOKUP(A1,InvoicesData!$A$1:$DZU$1000000,183,FALSE)</f>
        <v>#N/A</v>
      </c>
      <c r="M11" s="4" t="e">
        <f>VLOOKUP(A1,InvoicesData!$A$1:$DZU$1000000,184,FALSE)</f>
        <v>#N/A</v>
      </c>
      <c r="N11" s="4" t="e">
        <f>VLOOKUP(A1,InvoicesData!$A$1:$DZU$1000000,185,FALSE)</f>
        <v>#N/A</v>
      </c>
      <c r="O11" s="4" t="e">
        <f>VLOOKUP(A1,InvoicesData!$A$1:$DZU$1000000,186,FALSE)</f>
        <v>#N/A</v>
      </c>
      <c r="P11" s="4" t="e">
        <f>VLOOKUP(A1,InvoicesData!$A$1:$DZU$1000000,187,FALSE)</f>
        <v>#N/A</v>
      </c>
      <c r="Q11" s="11" t="e">
        <f>VLOOKUP(A1,InvoicesData!$A$1:$DZU$1000000,188,FALSE)</f>
        <v>#N/A</v>
      </c>
    </row>
    <row r="12" spans="1:17">
      <c r="A12" s="33" t="e">
        <f>VLOOKUP(A1,InvoicesData!$A$1:$DZU$1000000,189,FALSE)</f>
        <v>#N/A</v>
      </c>
      <c r="B12" s="31"/>
      <c r="C12" s="2" t="e">
        <f>VLOOKUP(A1,InvoicesData!$A$1:$DZU$1000000,191,FALSE)</f>
        <v>#N/A</v>
      </c>
      <c r="D12" s="2" t="e">
        <f>VLOOKUP(A1,InvoicesData!$A$1:$DZU$1000000,192,FALSE)</f>
        <v>#N/A</v>
      </c>
      <c r="E12" s="2" t="e">
        <f>VLOOKUP(A1,InvoicesData!$A$1:$DZU$1000000,193,FALSE)</f>
        <v>#N/A</v>
      </c>
      <c r="F12" s="4" t="e">
        <f>VLOOKUP(A1,InvoicesData!$A$1:$DZU$1000000,194,FALSE)</f>
        <v>#N/A</v>
      </c>
      <c r="G12" s="4" t="e">
        <f>VLOOKUP(A1,InvoicesData!$A$1:$DZU$1000000,195,FALSE)</f>
        <v>#N/A</v>
      </c>
      <c r="H12" s="4" t="e">
        <f>VLOOKUP(A1,InvoicesData!$A$1:$DZU$1000000,196,FALSE)</f>
        <v>#N/A</v>
      </c>
      <c r="I12" s="4" t="e">
        <f>VLOOKUP(A1,InvoicesData!$A$1:$DZU$1000000,197,FALSE)</f>
        <v>#N/A</v>
      </c>
      <c r="J12" s="4" t="e">
        <f>VLOOKUP(A1,InvoicesData!$A$1:$DZU$1000000,198,FALSE)</f>
        <v>#N/A</v>
      </c>
      <c r="K12" s="4" t="e">
        <f>VLOOKUP(A1,InvoicesData!$A$1:$DZU$1000000,199,FALSE)</f>
        <v>#N/A</v>
      </c>
      <c r="L12" s="4" t="e">
        <f>VLOOKUP(A1,InvoicesData!$A$1:$DZU$1000000,200,FALSE)</f>
        <v>#N/A</v>
      </c>
      <c r="M12" s="4" t="e">
        <f>VLOOKUP(A1,InvoicesData!$A$1:$DZU$1000000,201,FALSE)</f>
        <v>#N/A</v>
      </c>
      <c r="N12" s="4" t="e">
        <f>VLOOKUP(A1,InvoicesData!$A$1:$DZU$1000000,202,FALSE)</f>
        <v>#N/A</v>
      </c>
      <c r="O12" s="4" t="e">
        <f>VLOOKUP(A1,InvoicesData!$A$1:$DZU$1000000,203,FALSE)</f>
        <v>#N/A</v>
      </c>
      <c r="P12" s="4" t="e">
        <f>VLOOKUP(A1,InvoicesData!$A$1:$DZU$1000000,204,FALSE)</f>
        <v>#N/A</v>
      </c>
      <c r="Q12" s="11" t="e">
        <f>VLOOKUP(A1,InvoicesData!$A$1:$DZU$1000000,205,FALSE)</f>
        <v>#N/A</v>
      </c>
    </row>
    <row r="13" spans="1:17">
      <c r="A13" s="5" t="e">
        <f>VLOOKUP(A1,InvoicesData!$A$1:$DZU$1000000,206,FALSE)</f>
        <v>#N/A</v>
      </c>
      <c r="B13" s="2" t="e">
        <f>VLOOKUP(A1,InvoicesData!$A$1:$DZU$1000000,207,FALSE)</f>
        <v>#N/A</v>
      </c>
      <c r="C13" s="67" t="e">
        <f>VLOOKUP(A1,InvoicesData!$A$1:$DZU$1000000,208,FALSE)</f>
        <v>#N/A</v>
      </c>
      <c r="D13" s="6" t="e">
        <f>VLOOKUP(A1,InvoicesData!$A$1:$DZU$1000000,209,FALSE)</f>
        <v>#N/A</v>
      </c>
      <c r="E13" s="2" t="e">
        <f>VLOOKUP(A1,InvoicesData!$A$1:$DZU$1000000,210,FALSE)</f>
        <v>#N/A</v>
      </c>
      <c r="F13" s="4" t="e">
        <f>VLOOKUP(A1,InvoicesData!$A$1:$DZU$1000000,211,FALSE)</f>
        <v>#N/A</v>
      </c>
      <c r="G13" s="4" t="e">
        <f>VLOOKUP(A1,InvoicesData!$A$1:$DZU$1000000,212,FALSE)</f>
        <v>#N/A</v>
      </c>
      <c r="H13" s="4" t="e">
        <f>VLOOKUP(A1,InvoicesData!$A$1:$DZU$1000000,213,FALSE)</f>
        <v>#N/A</v>
      </c>
      <c r="I13" s="4" t="e">
        <f>VLOOKUP(A1,InvoicesData!$A$1:$DZU$1000000,214,FALSE)</f>
        <v>#N/A</v>
      </c>
      <c r="J13" s="4" t="e">
        <f>VLOOKUP(A1,InvoicesData!$A$1:$DZU$1000000,215,FALSE)</f>
        <v>#N/A</v>
      </c>
      <c r="K13" s="4" t="e">
        <f>VLOOKUP(A1,InvoicesData!$A$1:$DZU$1000000,216,FALSE)</f>
        <v>#N/A</v>
      </c>
      <c r="L13" s="4" t="e">
        <f>VLOOKUP(A1,InvoicesData!$A$1:$DZU$1000000,217,FALSE)</f>
        <v>#N/A</v>
      </c>
      <c r="M13" s="4" t="e">
        <f>VLOOKUP(A1,InvoicesData!$A$1:$DZU$1000000,218,FALSE)</f>
        <v>#N/A</v>
      </c>
      <c r="N13" s="4" t="e">
        <f>VLOOKUP(A1,InvoicesData!$A$1:$DZU$1000000,219,FALSE)</f>
        <v>#N/A</v>
      </c>
      <c r="O13" s="4" t="e">
        <f>VLOOKUP(A1,InvoicesData!$A$1:$DZU$1000000,220,FALSE)</f>
        <v>#N/A</v>
      </c>
      <c r="P13" s="4" t="e">
        <f>VLOOKUP(A1,InvoicesData!$A$1:$DZU$1000000,221,FALSE)</f>
        <v>#N/A</v>
      </c>
      <c r="Q13" s="11" t="e">
        <f>VLOOKUP(A1,InvoicesData!$A$1:$DZU$1000000,222,FALSE)</f>
        <v>#N/A</v>
      </c>
    </row>
    <row r="14" spans="1:17" ht="13">
      <c r="A14" s="7" t="e">
        <f>VLOOKUP(A1,InvoicesData!$A$1:$DZU$1000000,223,FALSE)</f>
        <v>#N/A</v>
      </c>
      <c r="B14" s="7" t="e">
        <f>VLOOKUP(A1,InvoicesData!$A$1:$DZU$1000000,224,FALSE)</f>
        <v>#N/A</v>
      </c>
      <c r="C14" s="7" t="e">
        <f>VLOOKUP(A1,InvoicesData!$A$1:$DZU$1000000,225,FALSE)</f>
        <v>#N/A</v>
      </c>
      <c r="D14" s="7" t="e">
        <f>VLOOKUP(A1,InvoicesData!$A$1:$DZU$1000000,226,FALSE)</f>
        <v>#N/A</v>
      </c>
      <c r="E14" s="2" t="e">
        <f>VLOOKUP(A1,InvoicesData!$A$1:$DZU$1000000,227,FALSE)</f>
        <v>#N/A</v>
      </c>
      <c r="F14" s="4" t="e">
        <f>VLOOKUP(A1,InvoicesData!$A$1:$DZU$1000000,228,FALSE)</f>
        <v>#N/A</v>
      </c>
      <c r="G14" s="4" t="e">
        <f>VLOOKUP(A1,InvoicesData!$A$1:$DZU$1000000,229,FALSE)</f>
        <v>#N/A</v>
      </c>
      <c r="H14" s="4" t="e">
        <f>VLOOKUP(A1,InvoicesData!$A$1:$DZU$1000000,230,FALSE)</f>
        <v>#N/A</v>
      </c>
      <c r="I14" s="4" t="e">
        <f>VLOOKUP(A1,InvoicesData!$A$1:$DZU$1000000,231,FALSE)</f>
        <v>#N/A</v>
      </c>
      <c r="J14" s="4" t="e">
        <f>VLOOKUP(A1,InvoicesData!$A$1:$DZU$1000000,232,FALSE)</f>
        <v>#N/A</v>
      </c>
      <c r="K14" s="4" t="e">
        <f>VLOOKUP(A1,InvoicesData!$A$1:$DZU$1000000,233,FALSE)</f>
        <v>#N/A</v>
      </c>
      <c r="L14" s="4" t="e">
        <f>VLOOKUP(A1,InvoicesData!$A$1:$DZU$1000000,234,FALSE)</f>
        <v>#N/A</v>
      </c>
      <c r="M14" s="4" t="e">
        <f>VLOOKUP(A1,InvoicesData!$A$1:$DZU$1000000,235,FALSE)</f>
        <v>#N/A</v>
      </c>
      <c r="N14" s="4" t="e">
        <f>VLOOKUP(A1,InvoicesData!$A$1:$DZU$1000000,236,FALSE)</f>
        <v>#N/A</v>
      </c>
      <c r="O14" s="4" t="e">
        <f>VLOOKUP(A1,InvoicesData!$A$1:$DZU$1000000,237,FALSE)</f>
        <v>#N/A</v>
      </c>
      <c r="P14" s="4" t="e">
        <f>VLOOKUP(A1,InvoicesData!$A$1:$DZU$1000000,238,FALSE)</f>
        <v>#N/A</v>
      </c>
      <c r="Q14" s="11" t="e">
        <f>VLOOKUP(A1,InvoicesData!$A$1:$DZU$1000000,239,FALSE)</f>
        <v>#N/A</v>
      </c>
    </row>
    <row r="15" spans="1:17">
      <c r="A15" s="8" t="e">
        <f>VLOOKUP(A1,InvoicesData!$A$1:$DZU$1000000,240,FALSE)</f>
        <v>#N/A</v>
      </c>
      <c r="B15" s="8" t="e">
        <f>VLOOKUP(A1,InvoicesData!$A$1:$DZU$1000000,241,FALSE)</f>
        <v>#N/A</v>
      </c>
      <c r="C15" s="9" t="e">
        <f>VLOOKUP(A1,InvoicesData!$A$1:$DZU$1000000,242,FALSE)</f>
        <v>#N/A</v>
      </c>
      <c r="D15" s="9" t="e">
        <f>VLOOKUP(A1,InvoicesData!$A$1:$DZU$1000000,243,FALSE)</f>
        <v>#N/A</v>
      </c>
      <c r="E15" s="2" t="e">
        <f>VLOOKUP(A1,InvoicesData!$A$1:$DZU$1000000,244,FALSE)</f>
        <v>#N/A</v>
      </c>
      <c r="F15" s="28" t="e">
        <f>VLOOKUP(A1,InvoicesData!$A$1:$DZU$1000000,245,FALSE)</f>
        <v>#N/A</v>
      </c>
      <c r="G15" s="4" t="e">
        <f>VLOOKUP(A1,InvoicesData!$A$1:$DZU$1000000,246,FALSE)</f>
        <v>#N/A</v>
      </c>
      <c r="H15" s="4" t="e">
        <f>VLOOKUP(A1,InvoicesData!$A$1:$DZU$1000000,247,FALSE)</f>
        <v>#N/A</v>
      </c>
      <c r="I15" s="4" t="e">
        <f>VLOOKUP(A1,InvoicesData!$A$1:$DZU$1000000,248,FALSE)</f>
        <v>#N/A</v>
      </c>
      <c r="J15" s="4" t="e">
        <f>VLOOKUP(A1,InvoicesData!$A$1:$DZU$1000000,249,FALSE)</f>
        <v>#N/A</v>
      </c>
      <c r="K15" s="4" t="e">
        <f>VLOOKUP(A1,InvoicesData!$A$1:$DZU$1000000,250,FALSE)</f>
        <v>#N/A</v>
      </c>
      <c r="L15" s="4" t="e">
        <f>VLOOKUP(A1,InvoicesData!$A$1:$DZU$1000000,251,FALSE)</f>
        <v>#N/A</v>
      </c>
      <c r="M15" s="4" t="e">
        <f>VLOOKUP(A1,InvoicesData!$A$1:$DZU$1000000,252,FALSE)</f>
        <v>#N/A</v>
      </c>
      <c r="N15" s="4" t="e">
        <f>VLOOKUP(A1,InvoicesData!$A$1:$DZU$1000000,253,FALSE)</f>
        <v>#N/A</v>
      </c>
      <c r="O15" s="4" t="e">
        <f>VLOOKUP(A1,InvoicesData!$A$1:$DZU$1000000,254,FALSE)</f>
        <v>#N/A</v>
      </c>
      <c r="P15" s="4" t="e">
        <f>VLOOKUP(A1,InvoicesData!$A$1:$DZU$1000000,255,FALSE)</f>
        <v>#N/A</v>
      </c>
      <c r="Q15" s="11" t="e">
        <f>VLOOKUP(A1,InvoicesData!$A$1:$DZU$1000000,256,FALSE)</f>
        <v>#N/A</v>
      </c>
    </row>
    <row r="16" spans="1:17">
      <c r="A16" s="8" t="e">
        <f>VLOOKUP(A1,InvoicesData!$A$1:$DZU$1000000,257,FALSE)</f>
        <v>#N/A</v>
      </c>
      <c r="B16" s="8" t="e">
        <f>VLOOKUP(A1,InvoicesData!$A$1:$DZU$1000000,258,FALSE)</f>
        <v>#N/A</v>
      </c>
      <c r="C16" s="9" t="e">
        <f>VLOOKUP(A1,InvoicesData!$A$1:$DZU$1000000,259,FALSE)</f>
        <v>#N/A</v>
      </c>
      <c r="D16" s="9" t="e">
        <f>VLOOKUP(A1,InvoicesData!$A$1:$DZU$1000000,260,FALSE)</f>
        <v>#N/A</v>
      </c>
      <c r="E16" s="2" t="e">
        <f>VLOOKUP(A1,InvoicesData!$A$1:$DZU$1000000,261,FALSE)</f>
        <v>#N/A</v>
      </c>
      <c r="F16" s="28" t="e">
        <f>VLOOKUP(A1,InvoicesData!$A$1:$DZU$1000000,262,FALSE)</f>
        <v>#N/A</v>
      </c>
      <c r="G16" s="4" t="e">
        <f>VLOOKUP(A1,InvoicesData!$A$1:$DZU$1000000,263,FALSE)</f>
        <v>#N/A</v>
      </c>
      <c r="H16" s="4" t="e">
        <f>VLOOKUP(A1,InvoicesData!$A$1:$DZU$1000000,264,FALSE)</f>
        <v>#N/A</v>
      </c>
      <c r="I16" s="4" t="e">
        <f>VLOOKUP(A1,InvoicesData!$A$1:$DZU$1000000,265,FALSE)</f>
        <v>#N/A</v>
      </c>
      <c r="J16" s="4" t="e">
        <f>VLOOKUP(A1,InvoicesData!$A$1:$DZU$1000000,266,FALSE)</f>
        <v>#N/A</v>
      </c>
      <c r="K16" s="4" t="e">
        <f>VLOOKUP(A1,InvoicesData!$A$1:$DZU$1000000,267,FALSE)</f>
        <v>#N/A</v>
      </c>
      <c r="L16" s="4" t="e">
        <f>VLOOKUP(A1,InvoicesData!$A$1:$DZU$1000000,268,FALSE)</f>
        <v>#N/A</v>
      </c>
      <c r="M16" s="4" t="e">
        <f>VLOOKUP(A1,InvoicesData!$A$1:$DZU$1000000,269,FALSE)</f>
        <v>#N/A</v>
      </c>
      <c r="N16" s="4" t="e">
        <f>VLOOKUP(A1,InvoicesData!$A$1:$DZU$1000000,270,FALSE)</f>
        <v>#N/A</v>
      </c>
      <c r="O16" s="4" t="e">
        <f>VLOOKUP(A1,InvoicesData!$A$1:$DZU$1000000,271,FALSE)</f>
        <v>#N/A</v>
      </c>
      <c r="P16" s="4" t="e">
        <f>VLOOKUP(A1,InvoicesData!$A$1:$DZU$1000000,272,FALSE)</f>
        <v>#N/A</v>
      </c>
      <c r="Q16" s="11" t="e">
        <f>VLOOKUP(A1,InvoicesData!$A$1:$DZU$1000000,273,FALSE)</f>
        <v>#N/A</v>
      </c>
    </row>
    <row r="17" spans="1:17">
      <c r="A17" s="8" t="e">
        <f>VLOOKUP(A1,InvoicesData!$A$1:$DZU$1000000,274,FALSE)</f>
        <v>#N/A</v>
      </c>
      <c r="B17" s="8" t="e">
        <f>VLOOKUP(A1,InvoicesData!$A$1:$DZU$1000000,275,FALSE)</f>
        <v>#N/A</v>
      </c>
      <c r="C17" s="9" t="e">
        <f>VLOOKUP(A1,InvoicesData!$A$1:$DZU$1000000,276,FALSE)</f>
        <v>#N/A</v>
      </c>
      <c r="D17" s="9" t="e">
        <f>VLOOKUP(A1,InvoicesData!$A$1:$DZU$1000000,277,FALSE)</f>
        <v>#N/A</v>
      </c>
      <c r="E17" s="2" t="e">
        <f>VLOOKUP(A1,InvoicesData!$A$1:$DZU$1000000,278,FALSE)</f>
        <v>#N/A</v>
      </c>
      <c r="F17" s="28" t="e">
        <f>VLOOKUP(A1,InvoicesData!$A$1:$DZU$1000000,279,FALSE)</f>
        <v>#N/A</v>
      </c>
      <c r="G17" s="4" t="e">
        <f>VLOOKUP(A1,InvoicesData!$A$1:$DZU$1000000,280,FALSE)</f>
        <v>#N/A</v>
      </c>
      <c r="H17" s="4" t="e">
        <f>VLOOKUP(A1,InvoicesData!$A$1:$DZU$1000000,281,FALSE)</f>
        <v>#N/A</v>
      </c>
      <c r="I17" s="4" t="e">
        <f>VLOOKUP(A1,InvoicesData!$A$1:$DZU$1000000,282,FALSE)</f>
        <v>#N/A</v>
      </c>
      <c r="J17" s="4" t="e">
        <f>VLOOKUP(A1,InvoicesData!$A$1:$DZU$1000000,283,FALSE)</f>
        <v>#N/A</v>
      </c>
      <c r="K17" s="4" t="e">
        <f>VLOOKUP(A1,InvoicesData!$A$1:$DZU$1000000,284,FALSE)</f>
        <v>#N/A</v>
      </c>
      <c r="L17" s="4" t="e">
        <f>VLOOKUP(A1,InvoicesData!$A$1:$DZU$1000000,285,FALSE)</f>
        <v>#N/A</v>
      </c>
      <c r="M17" s="4" t="e">
        <f>VLOOKUP(A1,InvoicesData!$A$1:$DZU$1000000,286,FALSE)</f>
        <v>#N/A</v>
      </c>
      <c r="N17" s="4" t="e">
        <f>VLOOKUP(A1,InvoicesData!$A$1:$DZU$1000000,287,FALSE)</f>
        <v>#N/A</v>
      </c>
      <c r="O17" s="4" t="e">
        <f>VLOOKUP(A1,InvoicesData!$A$1:$DZU$1000000,288,FALSE)</f>
        <v>#N/A</v>
      </c>
      <c r="P17" s="4" t="e">
        <f>VLOOKUP(A1,InvoicesData!$A$1:$DZU$1000000,289,FALSE)</f>
        <v>#N/A</v>
      </c>
      <c r="Q17" s="11" t="e">
        <f>VLOOKUP(A1,InvoicesData!$A$1:$DZU$1000000,290,FALSE)</f>
        <v>#N/A</v>
      </c>
    </row>
    <row r="18" spans="1:17">
      <c r="A18" s="8" t="e">
        <f>VLOOKUP(A1,InvoicesData!$A$1:$DZU$1000000,291,FALSE)</f>
        <v>#N/A</v>
      </c>
      <c r="B18" s="8" t="e">
        <f>VLOOKUP(A1,InvoicesData!$A$1:$DZU$1000000,292,FALSE)</f>
        <v>#N/A</v>
      </c>
      <c r="C18" s="9" t="e">
        <f>VLOOKUP(A1,InvoicesData!$A$1:$DZU$1000000,293,FALSE)</f>
        <v>#N/A</v>
      </c>
      <c r="D18" s="9" t="e">
        <f>VLOOKUP(A1,InvoicesData!$A$1:$DZU$1000000,294,FALSE)</f>
        <v>#N/A</v>
      </c>
      <c r="E18" s="2" t="e">
        <f>VLOOKUP(A1,InvoicesData!$A$1:$DZU$1000000,295,FALSE)</f>
        <v>#N/A</v>
      </c>
      <c r="F18" s="28" t="e">
        <f>VLOOKUP(A1,InvoicesData!$A$1:$DZU$1000000,296,FALSE)</f>
        <v>#N/A</v>
      </c>
      <c r="G18" s="4" t="e">
        <f>VLOOKUP(A1,InvoicesData!$A$1:$DZU$1000000,297,FALSE)</f>
        <v>#N/A</v>
      </c>
      <c r="H18" s="4" t="e">
        <f>VLOOKUP(A1,InvoicesData!$A$1:$DZU$1000000,298,FALSE)</f>
        <v>#N/A</v>
      </c>
      <c r="I18" s="4" t="e">
        <f>VLOOKUP(A1,InvoicesData!$A$1:$DZU$1000000,299,FALSE)</f>
        <v>#N/A</v>
      </c>
      <c r="J18" s="4" t="e">
        <f>VLOOKUP(A1,InvoicesData!$A$1:$DZU$1000000,300,FALSE)</f>
        <v>#N/A</v>
      </c>
      <c r="K18" s="4" t="e">
        <f>VLOOKUP(A1,InvoicesData!$A$1:$DZU$1000000,301,FALSE)</f>
        <v>#N/A</v>
      </c>
      <c r="L18" s="4" t="e">
        <f>VLOOKUP(A1,InvoicesData!$A$1:$DZU$1000000,302,FALSE)</f>
        <v>#N/A</v>
      </c>
      <c r="M18" s="4" t="e">
        <f>VLOOKUP(A1,InvoicesData!$A$1:$DZU$1000000,303,FALSE)</f>
        <v>#N/A</v>
      </c>
      <c r="N18" s="4" t="e">
        <f>VLOOKUP(A1,InvoicesData!$A$1:$DZU$1000000,304,FALSE)</f>
        <v>#N/A</v>
      </c>
      <c r="O18" s="4" t="e">
        <f>VLOOKUP(A1,InvoicesData!$A$1:$DZU$1000000,305,FALSE)</f>
        <v>#N/A</v>
      </c>
      <c r="P18" s="4" t="e">
        <f>VLOOKUP(A1,InvoicesData!$A$1:$DZU$1000000,306,FALSE)</f>
        <v>#N/A</v>
      </c>
      <c r="Q18" s="11" t="e">
        <f>VLOOKUP(A1,InvoicesData!$A$1:$DZU$1000000,307,FALSE)</f>
        <v>#N/A</v>
      </c>
    </row>
    <row r="19" spans="1:17">
      <c r="A19" s="8" t="e">
        <f>VLOOKUP(A1,InvoicesData!$A$1:$DZU$1000000,308,FALSE)</f>
        <v>#N/A</v>
      </c>
      <c r="B19" s="8" t="e">
        <f>VLOOKUP(A1,InvoicesData!$A$1:$DZU$1000000,309,FALSE)</f>
        <v>#N/A</v>
      </c>
      <c r="C19" s="9" t="e">
        <f>VLOOKUP(A1,InvoicesData!$A$1:$DZU$1000000,310,FALSE)</f>
        <v>#N/A</v>
      </c>
      <c r="D19" s="9" t="e">
        <f>VLOOKUP(A1,InvoicesData!$A$1:$DZU$1000000,311,FALSE)</f>
        <v>#N/A</v>
      </c>
      <c r="E19" s="2" t="e">
        <f>VLOOKUP(A1,InvoicesData!$A$1:$DZU$1000000,312,FALSE)</f>
        <v>#N/A</v>
      </c>
      <c r="F19" s="28" t="e">
        <f>VLOOKUP(A1,InvoicesData!$A$1:$DZU$1000000,313,FALSE)</f>
        <v>#N/A</v>
      </c>
      <c r="G19" s="4" t="e">
        <f>VLOOKUP(A1,InvoicesData!$A$1:$DZU$1000000,314,FALSE)</f>
        <v>#N/A</v>
      </c>
      <c r="H19" s="4" t="e">
        <f>VLOOKUP(A1,InvoicesData!$A$1:$DZU$1000000,315,FALSE)</f>
        <v>#N/A</v>
      </c>
      <c r="I19" s="4" t="e">
        <f>VLOOKUP(A1,InvoicesData!$A$1:$DZU$1000000,316,FALSE)</f>
        <v>#N/A</v>
      </c>
      <c r="J19" s="4" t="e">
        <f>VLOOKUP(A1,InvoicesData!$A$1:$DZU$1000000,317,FALSE)</f>
        <v>#N/A</v>
      </c>
      <c r="K19" s="4" t="e">
        <f>VLOOKUP(A1,InvoicesData!$A$1:$DZU$1000000,318,FALSE)</f>
        <v>#N/A</v>
      </c>
      <c r="L19" s="4" t="e">
        <f>VLOOKUP(A1,InvoicesData!$A$1:$DZU$1000000,319,FALSE)</f>
        <v>#N/A</v>
      </c>
      <c r="M19" s="4" t="e">
        <f>VLOOKUP(A1,InvoicesData!$A$1:$DZU$1000000,320,FALSE)</f>
        <v>#N/A</v>
      </c>
      <c r="N19" s="4" t="e">
        <f>VLOOKUP(A1,InvoicesData!$A$1:$DZU$1000000,321,FALSE)</f>
        <v>#N/A</v>
      </c>
      <c r="O19" s="4" t="e">
        <f>VLOOKUP(A1,InvoicesData!$A$1:$DZU$1000000,322,FALSE)</f>
        <v>#N/A</v>
      </c>
      <c r="P19" s="4" t="e">
        <f>VLOOKUP(A1,InvoicesData!$A$1:$DZU$1000000,323,FALSE)</f>
        <v>#N/A</v>
      </c>
      <c r="Q19" s="11" t="e">
        <f>VLOOKUP(A1,InvoicesData!$A$1:$DZU$1000000,324,FALSE)</f>
        <v>#N/A</v>
      </c>
    </row>
    <row r="20" spans="1:17">
      <c r="A20" s="8" t="e">
        <f>VLOOKUP(A1,InvoicesData!$A$1:$DZU$1000000,325,FALSE)</f>
        <v>#N/A</v>
      </c>
      <c r="B20" s="8" t="e">
        <f>VLOOKUP(A1,InvoicesData!$A$1:$DZU$1000000,326,FALSE)</f>
        <v>#N/A</v>
      </c>
      <c r="C20" s="9" t="e">
        <f>VLOOKUP(A1,InvoicesData!$A$1:$DZU$1000000,327,FALSE)</f>
        <v>#N/A</v>
      </c>
      <c r="D20" s="9" t="e">
        <f>VLOOKUP(A1,InvoicesData!$A$1:$DZU$1000000,328,FALSE)</f>
        <v>#N/A</v>
      </c>
      <c r="E20" s="2" t="e">
        <f>VLOOKUP(A1,InvoicesData!$A$1:$DZU$1000000,329,FALSE)</f>
        <v>#N/A</v>
      </c>
      <c r="F20" s="28" t="e">
        <f>VLOOKUP(A1,InvoicesData!$A$1:$DZU$1000000,330,FALSE)</f>
        <v>#N/A</v>
      </c>
      <c r="G20" s="4" t="e">
        <f>VLOOKUP(A1,InvoicesData!$A$1:$DZU$1000000,331,FALSE)</f>
        <v>#N/A</v>
      </c>
      <c r="H20" s="4" t="e">
        <f>VLOOKUP(A1,InvoicesData!$A$1:$DZU$1000000,332,FALSE)</f>
        <v>#N/A</v>
      </c>
      <c r="I20" s="4" t="e">
        <f>VLOOKUP(A1,InvoicesData!$A$1:$DZU$1000000,333,FALSE)</f>
        <v>#N/A</v>
      </c>
      <c r="J20" s="4" t="e">
        <f>VLOOKUP(A1,InvoicesData!$A$1:$DZU$1000000,334,FALSE)</f>
        <v>#N/A</v>
      </c>
      <c r="K20" s="4" t="e">
        <f>VLOOKUP(A1,InvoicesData!$A$1:$DZU$1000000,335,FALSE)</f>
        <v>#N/A</v>
      </c>
      <c r="L20" s="4" t="e">
        <f>VLOOKUP(A1,InvoicesData!$A$1:$DZU$1000000,336,FALSE)</f>
        <v>#N/A</v>
      </c>
      <c r="M20" s="4" t="e">
        <f>VLOOKUP(A1,InvoicesData!$A$1:$DZU$1000000,337,FALSE)</f>
        <v>#N/A</v>
      </c>
      <c r="N20" s="4" t="e">
        <f>VLOOKUP(A1,InvoicesData!$A$1:$DZU$1000000,338,FALSE)</f>
        <v>#N/A</v>
      </c>
      <c r="O20" s="4" t="e">
        <f>VLOOKUP(A1,InvoicesData!$A$1:$DZU$1000000,339,FALSE)</f>
        <v>#N/A</v>
      </c>
      <c r="P20" s="4" t="e">
        <f>VLOOKUP(A1,InvoicesData!$A$1:$DZU$1000000,340,FALSE)</f>
        <v>#N/A</v>
      </c>
      <c r="Q20" s="11" t="e">
        <f>VLOOKUP(A1,InvoicesData!$A$1:$DZU$1000000,341,FALSE)</f>
        <v>#N/A</v>
      </c>
    </row>
    <row r="21" spans="1:17">
      <c r="A21" s="8" t="e">
        <f>VLOOKUP(A1,InvoicesData!$A$1:$DZU$1000000,342,FALSE)</f>
        <v>#N/A</v>
      </c>
      <c r="B21" s="8" t="e">
        <f>VLOOKUP(A1,InvoicesData!$A$1:$DZU$1000000,343,FALSE)</f>
        <v>#N/A</v>
      </c>
      <c r="C21" s="9" t="e">
        <f>VLOOKUP(A1,InvoicesData!$A$1:$DZU$1000000,344,FALSE)</f>
        <v>#N/A</v>
      </c>
      <c r="D21" s="9" t="e">
        <f>VLOOKUP(A1,InvoicesData!$A$1:$DZU$1000000,345,FALSE)</f>
        <v>#N/A</v>
      </c>
      <c r="E21" s="2" t="e">
        <f>VLOOKUP(A1,InvoicesData!$A$1:$DZU$1000000,346,FALSE)</f>
        <v>#N/A</v>
      </c>
      <c r="F21" s="28" t="e">
        <f>VLOOKUP(A1,InvoicesData!$A$1:$DZU$1000000,347,FALSE)</f>
        <v>#N/A</v>
      </c>
      <c r="G21" s="4" t="e">
        <f>VLOOKUP(A1,InvoicesData!$A$1:$DZU$1000000,348,FALSE)</f>
        <v>#N/A</v>
      </c>
      <c r="H21" s="4" t="e">
        <f>VLOOKUP(A1,InvoicesData!$A$1:$DZU$1000000,349,FALSE)</f>
        <v>#N/A</v>
      </c>
      <c r="I21" s="4" t="e">
        <f>VLOOKUP(A1,InvoicesData!$A$1:$DZU$1000000,350,FALSE)</f>
        <v>#N/A</v>
      </c>
      <c r="J21" s="4" t="e">
        <f>VLOOKUP(A1,InvoicesData!$A$1:$DZU$1000000,351,FALSE)</f>
        <v>#N/A</v>
      </c>
      <c r="K21" s="4" t="e">
        <f>VLOOKUP(A1,InvoicesData!$A$1:$DZU$1000000,352,FALSE)</f>
        <v>#N/A</v>
      </c>
      <c r="L21" s="4" t="e">
        <f>VLOOKUP(A1,InvoicesData!$A$1:$DZU$1000000,353,FALSE)</f>
        <v>#N/A</v>
      </c>
      <c r="M21" s="4" t="e">
        <f>VLOOKUP(A1,InvoicesData!$A$1:$DZU$1000000,354,FALSE)</f>
        <v>#N/A</v>
      </c>
      <c r="N21" s="4" t="e">
        <f>VLOOKUP(A1,InvoicesData!$A$1:$DZU$1000000,355,FALSE)</f>
        <v>#N/A</v>
      </c>
      <c r="O21" s="4" t="e">
        <f>VLOOKUP(A1,InvoicesData!$A$1:$DZU$1000000,356,FALSE)</f>
        <v>#N/A</v>
      </c>
      <c r="P21" s="4" t="e">
        <f>VLOOKUP(A1,InvoicesData!$A$1:$DZU$1000000,357,FALSE)</f>
        <v>#N/A</v>
      </c>
      <c r="Q21" s="11" t="e">
        <f>VLOOKUP(A1,InvoicesData!$A$1:$DZU$1000000,358,FALSE)</f>
        <v>#N/A</v>
      </c>
    </row>
    <row r="22" spans="1:17">
      <c r="A22" s="8" t="e">
        <f>VLOOKUP(A1,InvoicesData!$A$1:$DZU$1000000,359,FALSE)</f>
        <v>#N/A</v>
      </c>
      <c r="B22" s="8" t="e">
        <f>VLOOKUP(A1,InvoicesData!$A$1:$DZU$1000000,360,FALSE)</f>
        <v>#N/A</v>
      </c>
      <c r="C22" s="9" t="e">
        <f>VLOOKUP(A1,InvoicesData!$A$1:$DZU$1000000,361,FALSE)</f>
        <v>#N/A</v>
      </c>
      <c r="D22" s="9" t="e">
        <f>VLOOKUP(A1,InvoicesData!$A$1:$DZU$1000000,362,FALSE)</f>
        <v>#N/A</v>
      </c>
      <c r="E22" s="2" t="e">
        <f>VLOOKUP(A1,InvoicesData!$A$1:$DZU$1000000,363,FALSE)</f>
        <v>#N/A</v>
      </c>
      <c r="F22" s="28" t="e">
        <f>VLOOKUP(A1,InvoicesData!$A$1:$DZU$1000000,364,FALSE)</f>
        <v>#N/A</v>
      </c>
      <c r="G22" s="4" t="e">
        <f>VLOOKUP(A1,InvoicesData!$A$1:$DZU$1000000,365,FALSE)</f>
        <v>#N/A</v>
      </c>
      <c r="H22" s="4" t="e">
        <f>VLOOKUP(A1,InvoicesData!$A$1:$DZU$1000000,366,FALSE)</f>
        <v>#N/A</v>
      </c>
      <c r="I22" s="4" t="e">
        <f>VLOOKUP(A1,InvoicesData!$A$1:$DZU$1000000,367,FALSE)</f>
        <v>#N/A</v>
      </c>
      <c r="J22" s="4" t="e">
        <f>VLOOKUP(A1,InvoicesData!$A$1:$DZU$1000000,368,FALSE)</f>
        <v>#N/A</v>
      </c>
      <c r="K22" s="4" t="e">
        <f>VLOOKUP(A1,InvoicesData!$A$1:$DZU$1000000,369,FALSE)</f>
        <v>#N/A</v>
      </c>
      <c r="L22" s="4" t="e">
        <f>VLOOKUP(A1,InvoicesData!$A$1:$DZU$1000000,370,FALSE)</f>
        <v>#N/A</v>
      </c>
      <c r="M22" s="4" t="e">
        <f>VLOOKUP(A1,InvoicesData!$A$1:$DZU$1000000,371,FALSE)</f>
        <v>#N/A</v>
      </c>
      <c r="N22" s="4" t="e">
        <f>VLOOKUP(A1,InvoicesData!$A$1:$DZU$1000000,372,FALSE)</f>
        <v>#N/A</v>
      </c>
      <c r="O22" s="4" t="e">
        <f>VLOOKUP(A1,InvoicesData!$A$1:$DZU$1000000,373,FALSE)</f>
        <v>#N/A</v>
      </c>
      <c r="P22" s="4" t="e">
        <f>VLOOKUP(A1,InvoicesData!$A$1:$DZU$1000000,374,FALSE)</f>
        <v>#N/A</v>
      </c>
      <c r="Q22" s="11" t="e">
        <f>VLOOKUP(A1,InvoicesData!$A$1:$DZU$1000000,375,FALSE)</f>
        <v>#N/A</v>
      </c>
    </row>
    <row r="23" spans="1:17">
      <c r="A23" s="8" t="e">
        <f>VLOOKUP(A1,InvoicesData!$A$1:$DZU$1000000,376,FALSE)</f>
        <v>#N/A</v>
      </c>
      <c r="B23" s="8" t="e">
        <f>VLOOKUP(A1,InvoicesData!$A$1:$DZU$1000000,377,FALSE)</f>
        <v>#N/A</v>
      </c>
      <c r="C23" s="9" t="e">
        <f>VLOOKUP(A1,InvoicesData!$A$1:$DZU$1000000,378,FALSE)</f>
        <v>#N/A</v>
      </c>
      <c r="D23" s="9" t="e">
        <f>VLOOKUP(A1,InvoicesData!$A$1:$DZU$1000000,379,FALSE)</f>
        <v>#N/A</v>
      </c>
      <c r="E23" s="2" t="e">
        <f>VLOOKUP(A1,InvoicesData!$A$1:$DZU$1000000,380,FALSE)</f>
        <v>#N/A</v>
      </c>
      <c r="F23" s="28" t="e">
        <f>VLOOKUP(A1,InvoicesData!$A$1:$DZU$1000000,381,FALSE)</f>
        <v>#N/A</v>
      </c>
      <c r="G23" s="4" t="e">
        <f>VLOOKUP(A1,InvoicesData!$A$1:$DZU$1000000,382,FALSE)</f>
        <v>#N/A</v>
      </c>
      <c r="H23" s="4" t="e">
        <f>VLOOKUP(A1,InvoicesData!$A$1:$DZU$1000000,383,FALSE)</f>
        <v>#N/A</v>
      </c>
      <c r="I23" s="4" t="e">
        <f>VLOOKUP(A1,InvoicesData!$A$1:$DZU$1000000,384,FALSE)</f>
        <v>#N/A</v>
      </c>
      <c r="J23" s="4" t="e">
        <f>VLOOKUP(A1,InvoicesData!$A$1:$DZU$1000000,385,FALSE)</f>
        <v>#N/A</v>
      </c>
      <c r="K23" s="4" t="e">
        <f>VLOOKUP(A1,InvoicesData!$A$1:$DZU$1000000,386,FALSE)</f>
        <v>#N/A</v>
      </c>
      <c r="L23" s="4" t="e">
        <f>VLOOKUP(A1,InvoicesData!$A$1:$DZU$1000000,387,FALSE)</f>
        <v>#N/A</v>
      </c>
      <c r="M23" s="4" t="e">
        <f>VLOOKUP(A1,InvoicesData!$A$1:$DZU$1000000,388,FALSE)</f>
        <v>#N/A</v>
      </c>
      <c r="N23" s="4" t="e">
        <f>VLOOKUP(A1,InvoicesData!$A$1:$DZU$1000000,389,FALSE)</f>
        <v>#N/A</v>
      </c>
      <c r="O23" s="4" t="e">
        <f>VLOOKUP(A1,InvoicesData!$A$1:$DZU$1000000,390,FALSE)</f>
        <v>#N/A</v>
      </c>
      <c r="P23" s="4" t="e">
        <f>VLOOKUP(A1,InvoicesData!$A$1:$DZU$1000000,391,FALSE)</f>
        <v>#N/A</v>
      </c>
      <c r="Q23" s="11" t="e">
        <f>VLOOKUP(A1,InvoicesData!$A$1:$DZU$1000000,392,FALSE)</f>
        <v>#N/A</v>
      </c>
    </row>
    <row r="24" spans="1:17">
      <c r="A24" s="8" t="e">
        <f>VLOOKUP(A1,InvoicesData!$A$1:$DZU$1000000,393,FALSE)</f>
        <v>#N/A</v>
      </c>
      <c r="B24" s="8" t="e">
        <f>VLOOKUP(A1,InvoicesData!$A$1:$DZU$1000000,394,FALSE)</f>
        <v>#N/A</v>
      </c>
      <c r="C24" s="9" t="e">
        <f>VLOOKUP(A1,InvoicesData!$A$1:$DZU$1000000,395,FALSE)</f>
        <v>#N/A</v>
      </c>
      <c r="D24" s="9" t="e">
        <f>VLOOKUP(A1,InvoicesData!$A$1:$DZU$1000000,396,FALSE)</f>
        <v>#N/A</v>
      </c>
      <c r="E24" s="2" t="e">
        <f>VLOOKUP(A1,InvoicesData!$A$1:$DZU$1000000,397,FALSE)</f>
        <v>#N/A</v>
      </c>
      <c r="F24" s="28" t="e">
        <f>VLOOKUP(A1,InvoicesData!$A$1:$DZU$1000000,398,FALSE)</f>
        <v>#N/A</v>
      </c>
      <c r="G24" s="4" t="e">
        <f>VLOOKUP(A1,InvoicesData!$A$1:$DZU$1000000,399,FALSE)</f>
        <v>#N/A</v>
      </c>
      <c r="H24" s="4" t="e">
        <f>VLOOKUP(A1,InvoicesData!$A$1:$DZU$1000000,400,FALSE)</f>
        <v>#N/A</v>
      </c>
      <c r="I24" s="4" t="e">
        <f>VLOOKUP(A1,InvoicesData!$A$1:$DZU$1000000,401,FALSE)</f>
        <v>#N/A</v>
      </c>
      <c r="J24" s="4" t="e">
        <f>VLOOKUP(A1,InvoicesData!$A$1:$DZU$1000000,402,FALSE)</f>
        <v>#N/A</v>
      </c>
      <c r="K24" s="4" t="e">
        <f>VLOOKUP(A1,InvoicesData!$A$1:$DZU$1000000,403,FALSE)</f>
        <v>#N/A</v>
      </c>
      <c r="L24" s="4" t="e">
        <f>VLOOKUP(A1,InvoicesData!$A$1:$DZU$1000000,404,FALSE)</f>
        <v>#N/A</v>
      </c>
      <c r="M24" s="4" t="e">
        <f>VLOOKUP(A1,InvoicesData!$A$1:$DZU$1000000,405,FALSE)</f>
        <v>#N/A</v>
      </c>
      <c r="N24" s="4" t="e">
        <f>VLOOKUP(A1,InvoicesData!$A$1:$DZU$1000000,406,FALSE)</f>
        <v>#N/A</v>
      </c>
      <c r="O24" s="4" t="e">
        <f>VLOOKUP(A1,InvoicesData!$A$1:$DZU$1000000,407,FALSE)</f>
        <v>#N/A</v>
      </c>
      <c r="P24" s="4" t="e">
        <f>VLOOKUP(A1,InvoicesData!$A$1:$DZU$1000000,408,FALSE)</f>
        <v>#N/A</v>
      </c>
      <c r="Q24" s="11" t="e">
        <f>VLOOKUP(A1,InvoicesData!$A$1:$DZU$1000000,409,FALSE)</f>
        <v>#N/A</v>
      </c>
    </row>
    <row r="25" spans="1:17">
      <c r="A25" s="2" t="e">
        <f>VLOOKUP(A1,InvoicesData!$A$1:$DZU$1000000,410,FALSE)</f>
        <v>#N/A</v>
      </c>
      <c r="B25" s="2" t="e">
        <f>VLOOKUP(A1,InvoicesData!$A$1:$DZU$1000000,411,FALSE)</f>
        <v>#N/A</v>
      </c>
      <c r="C25" s="2" t="e">
        <f>VLOOKUP(A1,InvoicesData!$A$1:$DZU$1000000,412,FALSE)</f>
        <v>#N/A</v>
      </c>
      <c r="D25" s="2" t="e">
        <f>VLOOKUP(A1,InvoicesData!$A$1:$DZU$1000000,413,FALSE)</f>
        <v>#N/A</v>
      </c>
      <c r="E25" s="2" t="e">
        <f>VLOOKUP(A1,InvoicesData!$A$1:$DZU$1000000,414,FALSE)</f>
        <v>#N/A</v>
      </c>
      <c r="F25" s="4" t="e">
        <f>VLOOKUP(A1,InvoicesData!$A$1:$DZU$1000000,415,FALSE)</f>
        <v>#N/A</v>
      </c>
      <c r="G25" s="4" t="e">
        <f>VLOOKUP(A1,InvoicesData!$A$1:$DZU$1000000,416,FALSE)</f>
        <v>#N/A</v>
      </c>
      <c r="H25" s="4" t="e">
        <f>VLOOKUP(A1,InvoicesData!$A$1:$DZU$1000000,417,FALSE)</f>
        <v>#N/A</v>
      </c>
      <c r="I25" s="4" t="e">
        <f>VLOOKUP(A1,InvoicesData!$A$1:$DZU$1000000,418,FALSE)</f>
        <v>#N/A</v>
      </c>
      <c r="J25" s="4" t="e">
        <f>VLOOKUP(A1,InvoicesData!$A$1:$DZU$1000000,419,FALSE)</f>
        <v>#N/A</v>
      </c>
      <c r="K25" s="4" t="e">
        <f>VLOOKUP(A1,InvoicesData!$A$1:$DZU$1000000,420,FALSE)</f>
        <v>#N/A</v>
      </c>
      <c r="L25" s="4" t="e">
        <f>VLOOKUP(A1,InvoicesData!$A$1:$DZU$1000000,421,FALSE)</f>
        <v>#N/A</v>
      </c>
      <c r="M25" s="4" t="e">
        <f>VLOOKUP(A1,InvoicesData!$A$1:$DZU$1000000,422,FALSE)</f>
        <v>#N/A</v>
      </c>
      <c r="N25" s="4" t="e">
        <f>VLOOKUP(A1,InvoicesData!$A$1:$DZU$1000000,423,FALSE)</f>
        <v>#N/A</v>
      </c>
      <c r="O25" s="4" t="e">
        <f>VLOOKUP(A1,InvoicesData!$A$1:$DZU$1000000,424,FALSE)</f>
        <v>#N/A</v>
      </c>
      <c r="P25" s="4" t="e">
        <f>VLOOKUP(A1,InvoicesData!$A$1:$DZU$1000000,425,FALSE)</f>
        <v>#N/A</v>
      </c>
      <c r="Q25" s="11" t="e">
        <f>VLOOKUP(A1,InvoicesData!$A$1:$DZU$1000000,426,FALSE)</f>
        <v>#N/A</v>
      </c>
    </row>
    <row r="26" spans="1:17" ht="13">
      <c r="A26" s="2" t="e">
        <f>VLOOKUP(A1,InvoicesData!$A$1:$DZU$1000000,427,FALSE)</f>
        <v>#N/A</v>
      </c>
      <c r="B26" s="2" t="e">
        <f>VLOOKUP(A1,InvoicesData!$A$1:$DZU$1000000,428,FALSE)</f>
        <v>#N/A</v>
      </c>
      <c r="C26" s="3" t="e">
        <f>VLOOKUP(A1,InvoicesData!$A$1:$DZU$1000000,429,FALSE)</f>
        <v>#N/A</v>
      </c>
      <c r="D26" s="10" t="e">
        <f>VLOOKUP(A1,InvoicesData!$A$1:$DZU$1000000,430,FALSE)</f>
        <v>#N/A</v>
      </c>
      <c r="E26" s="2" t="e">
        <f>VLOOKUP(A1,InvoicesData!$A$1:$DZU$1000000,431,FALSE)</f>
        <v>#N/A</v>
      </c>
      <c r="F26" s="4" t="e">
        <f>VLOOKUP(A1,InvoicesData!$A$1:$DZU$1000000,432,FALSE)</f>
        <v>#N/A</v>
      </c>
      <c r="G26" s="4" t="e">
        <f>VLOOKUP(A1,InvoicesData!$A$1:$DZU$1000000,433,FALSE)</f>
        <v>#N/A</v>
      </c>
      <c r="H26" s="4" t="e">
        <f>VLOOKUP(A1,InvoicesData!$A$1:$DZU$1000000,434,FALSE)</f>
        <v>#N/A</v>
      </c>
      <c r="I26" s="4" t="e">
        <f>VLOOKUP(A1,InvoicesData!$A$1:$DZU$1000000,435,FALSE)</f>
        <v>#N/A</v>
      </c>
      <c r="J26" s="4" t="e">
        <f>VLOOKUP(A1,InvoicesData!$A$1:$DZU$1000000,436,FALSE)</f>
        <v>#N/A</v>
      </c>
      <c r="K26" s="4" t="e">
        <f>VLOOKUP(A1,InvoicesData!$A$1:$DZU$1000000,437,FALSE)</f>
        <v>#N/A</v>
      </c>
      <c r="L26" s="4" t="e">
        <f>VLOOKUP(A1,InvoicesData!$A$1:$DZU$1000000,438,FALSE)</f>
        <v>#N/A</v>
      </c>
      <c r="M26" s="4" t="e">
        <f>VLOOKUP(A1,InvoicesData!$A$1:$DZU$1000000,439,FALSE)</f>
        <v>#N/A</v>
      </c>
      <c r="N26" s="4" t="e">
        <f>VLOOKUP(A1,InvoicesData!$A$1:$DZU$1000000,440,FALSE)</f>
        <v>#N/A</v>
      </c>
      <c r="O26" s="4" t="e">
        <f>VLOOKUP(A1,InvoicesData!$A$1:$DZU$1000000,441,FALSE)</f>
        <v>#N/A</v>
      </c>
      <c r="P26" s="4" t="e">
        <f>VLOOKUP(A1,InvoicesData!$A$1:$DZU$1000000,442,FALSE)</f>
        <v>#N/A</v>
      </c>
      <c r="Q26" s="11" t="e">
        <f>VLOOKUP(A1,InvoicesData!$A$1:$DZU$1000000,443,FALSE)</f>
        <v>#N/A</v>
      </c>
    </row>
    <row r="27" spans="1:17" ht="13">
      <c r="A27" s="2" t="e">
        <f>VLOOKUP(A1,InvoicesData!$A$1:$DZU$1000000,444,FALSE)</f>
        <v>#N/A</v>
      </c>
      <c r="B27" s="2" t="e">
        <f>VLOOKUP(A1,InvoicesData!$A$1:$DZU$1000000,445,FALSE)</f>
        <v>#N/A</v>
      </c>
      <c r="C27" s="3" t="e">
        <f>VLOOKUP(A1,InvoicesData!$A$1:$DZU$1000000,446,FALSE)</f>
        <v>#N/A</v>
      </c>
      <c r="D27" s="10" t="e">
        <f>VLOOKUP(A1,InvoicesData!$A$1:$DZU$1000000,447,FALSE)</f>
        <v>#N/A</v>
      </c>
      <c r="E27" s="2" t="e">
        <f>VLOOKUP(A1,InvoicesData!$A$1:$DZU$1000000,448,FALSE)</f>
        <v>#N/A</v>
      </c>
      <c r="F27" s="4" t="e">
        <f>VLOOKUP(A1,InvoicesData!$A$1:$DZU$1000000,449,FALSE)</f>
        <v>#N/A</v>
      </c>
      <c r="G27" s="4" t="e">
        <f>VLOOKUP(A1,InvoicesData!$A$1:$DZU$1000000,450,FALSE)</f>
        <v>#N/A</v>
      </c>
      <c r="H27" s="4" t="e">
        <f>VLOOKUP(A1,InvoicesData!$A$1:$DZU$1000000,451,FALSE)</f>
        <v>#N/A</v>
      </c>
      <c r="I27" s="4" t="e">
        <f>VLOOKUP(A1,InvoicesData!$A$1:$DZU$1000000,452,FALSE)</f>
        <v>#N/A</v>
      </c>
      <c r="J27" s="4" t="e">
        <f>VLOOKUP(A1,InvoicesData!$A$1:$DZU$1000000,453,FALSE)</f>
        <v>#N/A</v>
      </c>
      <c r="K27" s="4" t="e">
        <f>VLOOKUP(A1,InvoicesData!$A$1:$DZU$1000000,454,FALSE)</f>
        <v>#N/A</v>
      </c>
      <c r="L27" s="4" t="e">
        <f>VLOOKUP(A1,InvoicesData!$A$1:$DZU$1000000,455,FALSE)</f>
        <v>#N/A</v>
      </c>
      <c r="M27" s="4" t="e">
        <f>VLOOKUP(A1,InvoicesData!$A$1:$DZU$1000000,456,FALSE)</f>
        <v>#N/A</v>
      </c>
      <c r="N27" s="4" t="e">
        <f>VLOOKUP(A1,InvoicesData!$A$1:$DZU$1000000,457,FALSE)</f>
        <v>#N/A</v>
      </c>
      <c r="O27" s="4" t="e">
        <f>VLOOKUP(A1,InvoicesData!$A$1:$DZU$1000000,458,FALSE)</f>
        <v>#N/A</v>
      </c>
      <c r="P27" s="4" t="e">
        <f>VLOOKUP(A1,InvoicesData!$A$1:$DZU$1000000,459,FALSE)</f>
        <v>#N/A</v>
      </c>
      <c r="Q27" s="11" t="e">
        <f>VLOOKUP(A1,InvoicesData!$A$1:$DZU$1000000,460,FALSE)</f>
        <v>#N/A</v>
      </c>
    </row>
    <row r="28" spans="1:17" ht="13">
      <c r="A28" s="2" t="e">
        <f>VLOOKUP(A1,InvoicesData!$A$1:$DZU$1000000,461,FALSE)</f>
        <v>#N/A</v>
      </c>
      <c r="B28" s="2" t="e">
        <f>VLOOKUP(A1,InvoicesData!$A$1:$DZU$1000000,462,FALSE)</f>
        <v>#N/A</v>
      </c>
      <c r="C28" s="3" t="e">
        <f>VLOOKUP(A1,InvoicesData!$A$1:$DZU$1000000,463,FALSE)</f>
        <v>#N/A</v>
      </c>
      <c r="D28" s="10" t="e">
        <f>VLOOKUP(A1,InvoicesData!$A$1:$DZU$1000000,464,FALSE)</f>
        <v>#N/A</v>
      </c>
      <c r="E28" s="2" t="e">
        <f>VLOOKUP(A1,InvoicesData!$A$1:$DZU$1000000,465,FALSE)</f>
        <v>#N/A</v>
      </c>
      <c r="F28" s="4" t="e">
        <f>VLOOKUP(A1,InvoicesData!$A$1:$DZU$1000000,466,FALSE)</f>
        <v>#N/A</v>
      </c>
      <c r="G28" s="4" t="e">
        <f>VLOOKUP(A1,InvoicesData!$A$1:$DZU$1000000,467,FALSE)</f>
        <v>#N/A</v>
      </c>
      <c r="H28" s="4" t="e">
        <f>VLOOKUP(A1,InvoicesData!$A$1:$DZU$1000000,468,FALSE)</f>
        <v>#N/A</v>
      </c>
      <c r="I28" s="4" t="e">
        <f>VLOOKUP(A1,InvoicesData!$A$1:$DZU$1000000,469,FALSE)</f>
        <v>#N/A</v>
      </c>
      <c r="J28" s="4" t="e">
        <f>VLOOKUP(A1,InvoicesData!$A$1:$DZU$1000000,470,FALSE)</f>
        <v>#N/A</v>
      </c>
      <c r="K28" s="4" t="e">
        <f>VLOOKUP(A1,InvoicesData!$A$1:$DZU$1000000,471,FALSE)</f>
        <v>#N/A</v>
      </c>
      <c r="L28" s="4" t="e">
        <f>VLOOKUP(A1,InvoicesData!$A$1:$DZU$1000000,472,FALSE)</f>
        <v>#N/A</v>
      </c>
      <c r="M28" s="4" t="e">
        <f>VLOOKUP(A1,InvoicesData!$A$1:$DZU$1000000,473,FALSE)</f>
        <v>#N/A</v>
      </c>
      <c r="N28" s="4" t="e">
        <f>VLOOKUP(A1,InvoicesData!$A$1:$DZU$1000000,474,FALSE)</f>
        <v>#N/A</v>
      </c>
      <c r="O28" s="4" t="e">
        <f>VLOOKUP(A1,InvoicesData!$A$1:$DZU$1000000,475,FALSE)</f>
        <v>#N/A</v>
      </c>
      <c r="P28" s="4" t="e">
        <f>VLOOKUP(A1,InvoicesData!$A$1:$DZU$1000000,476,FALSE)</f>
        <v>#N/A</v>
      </c>
      <c r="Q28" s="11" t="e">
        <f>VLOOKUP(A1,InvoicesData!$A$1:$DZU$1000000,477,FALSE)</f>
        <v>#N/A</v>
      </c>
    </row>
    <row r="29" spans="1:17">
      <c r="A29" s="2" t="e">
        <f>VLOOKUP(A1,InvoicesData!$A$1:$DZU$1000000,478,FALSE)</f>
        <v>#N/A</v>
      </c>
      <c r="B29" s="2" t="e">
        <f>VLOOKUP(A1,InvoicesData!$A$1:$DZU$1000000,479,FALSE)</f>
        <v>#N/A</v>
      </c>
      <c r="C29" s="2" t="e">
        <f>VLOOKUP(A1,InvoicesData!$A$1:$DZU$1000000,480,FALSE)</f>
        <v>#N/A</v>
      </c>
      <c r="D29" s="2" t="e">
        <f>VLOOKUP(A1,InvoicesData!$A$1:$DZU$1000000,481,FALSE)</f>
        <v>#N/A</v>
      </c>
      <c r="E29" s="2" t="e">
        <f>VLOOKUP(A1,InvoicesData!$A$1:$DZU$1000000,482,FALSE)</f>
        <v>#N/A</v>
      </c>
      <c r="F29" s="4" t="e">
        <f>VLOOKUP(A1,InvoicesData!$A$1:$DZU$1000000,483,FALSE)</f>
        <v>#N/A</v>
      </c>
      <c r="G29" s="4" t="e">
        <f>VLOOKUP(A1,InvoicesData!$A$1:$DZU$1000000,484,FALSE)</f>
        <v>#N/A</v>
      </c>
      <c r="H29" s="4" t="e">
        <f>VLOOKUP(A1,InvoicesData!$A$1:$DZU$1000000,485,FALSE)</f>
        <v>#N/A</v>
      </c>
      <c r="I29" s="4" t="e">
        <f>VLOOKUP(A1,InvoicesData!$A$1:$DZU$1000000,486,FALSE)</f>
        <v>#N/A</v>
      </c>
      <c r="J29" s="4" t="e">
        <f>VLOOKUP(A1,InvoicesData!$A$1:$DZU$1000000,487,FALSE)</f>
        <v>#N/A</v>
      </c>
      <c r="K29" s="4" t="e">
        <f>VLOOKUP(A1,InvoicesData!$A$1:$DZU$1000000,488,FALSE)</f>
        <v>#N/A</v>
      </c>
      <c r="L29" s="4" t="e">
        <f>VLOOKUP(A1,InvoicesData!$A$1:$DZU$1000000,489,FALSE)</f>
        <v>#N/A</v>
      </c>
      <c r="M29" s="4" t="e">
        <f>VLOOKUP(A1,InvoicesData!$A$1:$DZU$1000000,490,FALSE)</f>
        <v>#N/A</v>
      </c>
      <c r="N29" s="4" t="e">
        <f>VLOOKUP(A1,InvoicesData!$A$1:$DZU$1000000,491,FALSE)</f>
        <v>#N/A</v>
      </c>
      <c r="O29" s="4" t="e">
        <f>VLOOKUP(A1,InvoicesData!$A$1:$DZU$1000000,492,FALSE)</f>
        <v>#N/A</v>
      </c>
      <c r="P29" s="4" t="e">
        <f>VLOOKUP(A1,InvoicesData!$A$1:$DZU$1000000,493,FALSE)</f>
        <v>#N/A</v>
      </c>
      <c r="Q29" s="11" t="e">
        <f>VLOOKUP(A1,InvoicesData!$A$1:$DZU$1000000,494,FALSE)</f>
        <v>#N/A</v>
      </c>
    </row>
    <row r="30" spans="1:17" ht="13">
      <c r="A30" s="34" t="e">
        <f>VLOOKUP(A1,InvoicesData!$A$1:$DZU$1000000,495,FALSE)</f>
        <v>#N/A</v>
      </c>
      <c r="B30" s="31"/>
      <c r="C30" s="31"/>
      <c r="D30" s="31"/>
      <c r="E30" s="31"/>
      <c r="F30" s="4" t="e">
        <f>VLOOKUP(A1,InvoicesData!$A$1:$DZU$1000000,500,FALSE)</f>
        <v>#N/A</v>
      </c>
      <c r="G30" s="4" t="e">
        <f>VLOOKUP(A1,InvoicesData!$A$1:$DZU$1000000,501,FALSE)</f>
        <v>#N/A</v>
      </c>
      <c r="H30" s="4" t="e">
        <f>VLOOKUP(A1,InvoicesData!$A$1:$DZU$1000000,502,FALSE)</f>
        <v>#N/A</v>
      </c>
      <c r="I30" s="4" t="e">
        <f>VLOOKUP(A1,InvoicesData!$A$1:$DZU$1000000,503,FALSE)</f>
        <v>#N/A</v>
      </c>
      <c r="J30" s="4" t="e">
        <f>VLOOKUP(A1,InvoicesData!$A$1:$DZU$1000000,504,FALSE)</f>
        <v>#N/A</v>
      </c>
      <c r="K30" s="4" t="e">
        <f>VLOOKUP(A1,InvoicesData!$A$1:$DZU$1000000,505,FALSE)</f>
        <v>#N/A</v>
      </c>
      <c r="L30" s="4" t="e">
        <f>VLOOKUP(A1,InvoicesData!$A$1:$DZU$1000000,506,FALSE)</f>
        <v>#N/A</v>
      </c>
      <c r="M30" s="4" t="e">
        <f>VLOOKUP(A1,InvoicesData!$A$1:$DZU$1000000,507,FALSE)</f>
        <v>#N/A</v>
      </c>
      <c r="N30" s="4" t="e">
        <f>VLOOKUP(A1,InvoicesData!$A$1:$DZU$1000000,508,FALSE)</f>
        <v>#N/A</v>
      </c>
      <c r="O30" s="4" t="e">
        <f>VLOOKUP(A1,InvoicesData!$A$1:$DZU$1000000,509,FALSE)</f>
        <v>#N/A</v>
      </c>
      <c r="P30" s="4" t="e">
        <f>VLOOKUP(A1,InvoicesData!$A$1:$DZU$1000000,510,FALSE)</f>
        <v>#N/A</v>
      </c>
      <c r="Q30" s="11" t="e">
        <f>VLOOKUP(A1,InvoicesData!$A$1:$DZU$1000000,511,FALSE)</f>
        <v>#N/A</v>
      </c>
    </row>
    <row r="31" spans="1:17">
      <c r="A31" s="33" t="e">
        <f>VLOOKUP(A1,InvoicesData!$A$1:$DZU$1000000,512,FALSE)</f>
        <v>#N/A</v>
      </c>
      <c r="B31" s="31"/>
      <c r="C31" s="31"/>
      <c r="D31" s="31"/>
      <c r="E31" s="31"/>
      <c r="F31" s="4" t="e">
        <f>VLOOKUP(A1,InvoicesData!$A$1:$DZU$1000000,517,FALSE)</f>
        <v>#N/A</v>
      </c>
      <c r="G31" s="4" t="e">
        <f>VLOOKUP(A1,InvoicesData!$A$1:$DZU$1000000,518,FALSE)</f>
        <v>#N/A</v>
      </c>
      <c r="H31" s="4" t="e">
        <f>VLOOKUP(A1,InvoicesData!$A$1:$DZU$1000000,519,FALSE)</f>
        <v>#N/A</v>
      </c>
      <c r="I31" s="4" t="e">
        <f>VLOOKUP(A1,InvoicesData!$A$1:$DZU$1000000,520,FALSE)</f>
        <v>#N/A</v>
      </c>
      <c r="J31" s="4" t="e">
        <f>VLOOKUP(A1,InvoicesData!$A$1:$DZU$1000000,521,FALSE)</f>
        <v>#N/A</v>
      </c>
      <c r="K31" s="4" t="e">
        <f>VLOOKUP(A1,InvoicesData!$A$1:$DZU$1000000,522,FALSE)</f>
        <v>#N/A</v>
      </c>
      <c r="L31" s="4" t="e">
        <f>VLOOKUP(A1,InvoicesData!$A$1:$DZU$1000000,523,FALSE)</f>
        <v>#N/A</v>
      </c>
      <c r="M31" s="4" t="e">
        <f>VLOOKUP(A1,InvoicesData!$A$1:$DZU$1000000,524,FALSE)</f>
        <v>#N/A</v>
      </c>
      <c r="N31" s="4" t="e">
        <f>VLOOKUP(A1,InvoicesData!$A$1:$DZU$1000000,525,FALSE)</f>
        <v>#N/A</v>
      </c>
      <c r="O31" s="4" t="e">
        <f>VLOOKUP(A1,InvoicesData!$A$1:$DZU$1000000,526,FALSE)</f>
        <v>#N/A</v>
      </c>
      <c r="P31" s="4" t="e">
        <f>VLOOKUP(A1,InvoicesData!$A$1:$DZU$1000000,527,FALSE)</f>
        <v>#N/A</v>
      </c>
      <c r="Q31" s="11" t="e">
        <f>VLOOKUP(A1,InvoicesData!$A$1:$DZU$1000000,528,FALSE)</f>
        <v>#N/A</v>
      </c>
    </row>
    <row r="32" spans="1:17" ht="13">
      <c r="A32" s="29" t="e">
        <f>VLOOKUP(A1,InvoicesData!$A$1:$DZU$1000000,529,FALSE)</f>
        <v>#N/A</v>
      </c>
      <c r="B32" s="23" t="e">
        <f>VLOOKUP(A1,InvoicesData!$A$1:$DZU$1000000,530,FALSE)</f>
        <v>#N/A</v>
      </c>
      <c r="C32" s="23" t="e">
        <f>VLOOKUP(A1,InvoicesData!$A$1:$DZU$1000000,531,FALSE)</f>
        <v>#N/A</v>
      </c>
      <c r="D32" s="4" t="e">
        <f>VLOOKUP(A1,InvoicesData!$A$1:$DZU$1000000,532,FALSE)</f>
        <v>#N/A</v>
      </c>
      <c r="E32" s="4" t="e">
        <f>VLOOKUP(A1,InvoicesData!$A$1:$DZU$1000000,533,FALSE)</f>
        <v>#N/A</v>
      </c>
      <c r="F32" s="4" t="e">
        <f>VLOOKUP(A1,InvoicesData!$A$1:$DZU$1000000,534,FALSE)</f>
        <v>#N/A</v>
      </c>
      <c r="G32" s="4" t="e">
        <f>VLOOKUP(A1,InvoicesData!$A$1:$DZU$1000000,535,FALSE)</f>
        <v>#N/A</v>
      </c>
      <c r="H32" s="4" t="e">
        <f>VLOOKUP(A1,InvoicesData!$A$1:$DZU$1000000,536,FALSE)</f>
        <v>#N/A</v>
      </c>
      <c r="I32" s="4" t="e">
        <f>VLOOKUP(A1,InvoicesData!$A$1:$DZU$1000000,537,FALSE)</f>
        <v>#N/A</v>
      </c>
      <c r="J32" s="4" t="e">
        <f>VLOOKUP(A1,InvoicesData!$A$1:$DZU$1000000,538,FALSE)</f>
        <v>#N/A</v>
      </c>
      <c r="K32" s="4" t="e">
        <f>VLOOKUP(A1,InvoicesData!$A$1:$DZU$1000000,539,FALSE)</f>
        <v>#N/A</v>
      </c>
      <c r="L32" s="4" t="e">
        <f>VLOOKUP(A1,InvoicesData!$A$1:$DZU$1000000,540,FALSE)</f>
        <v>#N/A</v>
      </c>
      <c r="M32" s="4" t="e">
        <f>VLOOKUP(A1,InvoicesData!$A$1:$DZU$1000000,541,FALSE)</f>
        <v>#N/A</v>
      </c>
      <c r="N32" s="4" t="e">
        <f>VLOOKUP(A1,InvoicesData!$A$1:$DZU$1000000,542,FALSE)</f>
        <v>#N/A</v>
      </c>
      <c r="O32" s="4" t="e">
        <f>VLOOKUP(A1,InvoicesData!$A$1:$DZU$1000000,543,FALSE)</f>
        <v>#N/A</v>
      </c>
      <c r="P32" s="4" t="e">
        <f>VLOOKUP(A1,InvoicesData!$A$1:$DZU$1000000,544,FALSE)</f>
        <v>#N/A</v>
      </c>
      <c r="Q32" s="11" t="e">
        <f>VLOOKUP(A1,InvoicesData!$A$1:$DZU$1000000,545,FALSE)</f>
        <v>#N/A</v>
      </c>
    </row>
    <row r="33" spans="1:17">
      <c r="A33" s="26" t="e">
        <f>VLOOKUP(A1,InvoicesData!$A$1:$DZU$1000000,546,FALSE)</f>
        <v>#N/A</v>
      </c>
      <c r="B33" s="4" t="e">
        <f>VLOOKUP(A1,InvoicesData!$A$1:$DZU$1000000,547,FALSE)</f>
        <v>#N/A</v>
      </c>
      <c r="C33" s="24" t="e">
        <f>VLOOKUP(A1,InvoicesData!$A$1:$DZU$1000000,548,FALSE)</f>
        <v>#N/A</v>
      </c>
      <c r="D33" s="4" t="e">
        <f>VLOOKUP(A1,InvoicesData!$A$1:$DZU$1000000,549,FALSE)</f>
        <v>#N/A</v>
      </c>
      <c r="E33" s="4" t="e">
        <f>VLOOKUP(A1,InvoicesData!$A$1:$DZU$1000000,550,FALSE)</f>
        <v>#N/A</v>
      </c>
      <c r="F33" s="4" t="e">
        <f>VLOOKUP(A1,InvoicesData!$A$1:$DZU$1000000,551,FALSE)</f>
        <v>#N/A</v>
      </c>
      <c r="G33" s="4" t="e">
        <f>VLOOKUP(A1,InvoicesData!$A$1:$DZU$1000000,552,FALSE)</f>
        <v>#N/A</v>
      </c>
      <c r="H33" s="4" t="e">
        <f>VLOOKUP(A1,InvoicesData!$A$1:$DZU$1000000,553,FALSE)</f>
        <v>#N/A</v>
      </c>
      <c r="I33" s="4" t="e">
        <f>VLOOKUP(A1,InvoicesData!$A$1:$DZU$1000000,554,FALSE)</f>
        <v>#N/A</v>
      </c>
      <c r="J33" s="4" t="e">
        <f>VLOOKUP(A1,InvoicesData!$A$1:$DZU$1000000,555,FALSE)</f>
        <v>#N/A</v>
      </c>
      <c r="K33" s="4" t="e">
        <f>VLOOKUP(A1,InvoicesData!$A$1:$DZU$1000000,556,FALSE)</f>
        <v>#N/A</v>
      </c>
      <c r="L33" s="4" t="e">
        <f>VLOOKUP(A1,InvoicesData!$A$1:$DZU$1000000,557,FALSE)</f>
        <v>#N/A</v>
      </c>
      <c r="M33" s="4" t="e">
        <f>VLOOKUP(A1,InvoicesData!$A$1:$DZU$1000000,558,FALSE)</f>
        <v>#N/A</v>
      </c>
      <c r="N33" s="4" t="e">
        <f>VLOOKUP(A1,InvoicesData!$A$1:$DZU$1000000,559,FALSE)</f>
        <v>#N/A</v>
      </c>
      <c r="O33" s="4" t="e">
        <f>VLOOKUP(A1,InvoicesData!$A$1:$DZU$1000000,560,FALSE)</f>
        <v>#N/A</v>
      </c>
      <c r="P33" s="4" t="e">
        <f>VLOOKUP(A1,InvoicesData!$A$1:$DZU$1000000,561,FALSE)</f>
        <v>#N/A</v>
      </c>
      <c r="Q33" s="11" t="e">
        <f>VLOOKUP(A1,InvoicesData!$A$1:$DZU$1000000,562,FALSE)</f>
        <v>#N/A</v>
      </c>
    </row>
    <row r="34" spans="1:17">
      <c r="A34" s="12" t="e">
        <f>VLOOKUP(A1,InvoicesData!$A$1:$DZU$1000000,563,FALSE)</f>
        <v>#N/A</v>
      </c>
      <c r="B34" s="4" t="e">
        <f>VLOOKUP(A1,InvoicesData!$A$1:$DZU$1000000,564,FALSE)</f>
        <v>#N/A</v>
      </c>
      <c r="C34" s="4" t="e">
        <f>VLOOKUP(A1,InvoicesData!$A$1:$DZU$1000000,565,FALSE)</f>
        <v>#N/A</v>
      </c>
      <c r="D34" s="4" t="e">
        <f>VLOOKUP(A1,InvoicesData!$A$1:$DZU$1000000,566,FALSE)</f>
        <v>#N/A</v>
      </c>
      <c r="E34" s="4" t="e">
        <f>VLOOKUP(A1,InvoicesData!$A$1:$DZU$1000000,567,FALSE)</f>
        <v>#N/A</v>
      </c>
      <c r="F34" s="4" t="e">
        <f>VLOOKUP(A1,InvoicesData!$A$1:$DZU$1000000,568,FALSE)</f>
        <v>#N/A</v>
      </c>
      <c r="G34" s="4" t="e">
        <f>VLOOKUP(A1,InvoicesData!$A$1:$DZU$1000000,569,FALSE)</f>
        <v>#N/A</v>
      </c>
      <c r="H34" s="4" t="e">
        <f>VLOOKUP(A1,InvoicesData!$A$1:$DZU$1000000,570,FALSE)</f>
        <v>#N/A</v>
      </c>
      <c r="I34" s="4" t="e">
        <f>VLOOKUP(A1,InvoicesData!$A$1:$DZU$1000000,571,FALSE)</f>
        <v>#N/A</v>
      </c>
      <c r="J34" s="4" t="e">
        <f>VLOOKUP(A1,InvoicesData!$A$1:$DZU$1000000,572,FALSE)</f>
        <v>#N/A</v>
      </c>
      <c r="K34" s="4" t="e">
        <f>VLOOKUP(A1,InvoicesData!$A$1:$DZU$1000000,573,FALSE)</f>
        <v>#N/A</v>
      </c>
      <c r="L34" s="4" t="e">
        <f>VLOOKUP(A1,InvoicesData!$A$1:$DZU$1000000,574,FALSE)</f>
        <v>#N/A</v>
      </c>
      <c r="M34" s="4" t="e">
        <f>VLOOKUP(A1,InvoicesData!$A$1:$DZU$1000000,575,FALSE)</f>
        <v>#N/A</v>
      </c>
      <c r="N34" s="4" t="e">
        <f>VLOOKUP(A1,InvoicesData!$A$1:$DZU$1000000,576,FALSE)</f>
        <v>#N/A</v>
      </c>
      <c r="O34" s="4" t="e">
        <f>VLOOKUP(A1,InvoicesData!$A$1:$DZU$1000000,577,FALSE)</f>
        <v>#N/A</v>
      </c>
      <c r="P34" s="4" t="e">
        <f>VLOOKUP(A1,InvoicesData!$A$1:$DZU$1000000,578,FALSE)</f>
        <v>#N/A</v>
      </c>
      <c r="Q34" s="11" t="e">
        <f>VLOOKUP(A1,InvoicesData!$A$1:$DZU$1000000,579,FALSE)</f>
        <v>#N/A</v>
      </c>
    </row>
    <row r="35" spans="1:17">
      <c r="A35" s="12" t="e">
        <f>VLOOKUP(A1,InvoicesData!$A$1:$DZU$1000000,580,FALSE)</f>
        <v>#N/A</v>
      </c>
      <c r="B35" s="4" t="e">
        <f>VLOOKUP(A1,InvoicesData!$A$1:$DZU$1000000,581,FALSE)</f>
        <v>#N/A</v>
      </c>
      <c r="C35" s="4" t="e">
        <f>VLOOKUP(A1,InvoicesData!$A$1:$DZU$1000000,582,FALSE)</f>
        <v>#N/A</v>
      </c>
      <c r="D35" s="4" t="e">
        <f>VLOOKUP(A1,InvoicesData!$A$1:$DZU$1000000,583,FALSE)</f>
        <v>#N/A</v>
      </c>
      <c r="E35" s="4" t="e">
        <f>VLOOKUP(A1,InvoicesData!$A$1:$DZU$1000000,584,FALSE)</f>
        <v>#N/A</v>
      </c>
      <c r="F35" s="4" t="e">
        <f>VLOOKUP(A1,InvoicesData!$A$1:$DZU$1000000,585,FALSE)</f>
        <v>#N/A</v>
      </c>
      <c r="G35" s="4" t="e">
        <f>VLOOKUP(A1,InvoicesData!$A$1:$DZU$1000000,586,FALSE)</f>
        <v>#N/A</v>
      </c>
      <c r="H35" s="4" t="e">
        <f>VLOOKUP(A1,InvoicesData!$A$1:$DZU$1000000,587,FALSE)</f>
        <v>#N/A</v>
      </c>
      <c r="I35" s="4" t="e">
        <f>VLOOKUP(A1,InvoicesData!$A$1:$DZU$1000000,588,FALSE)</f>
        <v>#N/A</v>
      </c>
      <c r="J35" s="4" t="e">
        <f>VLOOKUP(A1,InvoicesData!$A$1:$DZU$1000000,589,FALSE)</f>
        <v>#N/A</v>
      </c>
      <c r="K35" s="4" t="e">
        <f>VLOOKUP(A1,InvoicesData!$A$1:$DZU$1000000,590,FALSE)</f>
        <v>#N/A</v>
      </c>
      <c r="L35" s="4" t="e">
        <f>VLOOKUP(A1,InvoicesData!$A$1:$DZU$1000000,591,FALSE)</f>
        <v>#N/A</v>
      </c>
      <c r="M35" s="4" t="e">
        <f>VLOOKUP(A1,InvoicesData!$A$1:$DZU$1000000,592,FALSE)</f>
        <v>#N/A</v>
      </c>
      <c r="N35" s="4" t="e">
        <f>VLOOKUP(A1,InvoicesData!$A$1:$DZU$1000000,593,FALSE)</f>
        <v>#N/A</v>
      </c>
      <c r="O35" s="4" t="e">
        <f>VLOOKUP(A1,InvoicesData!$A$1:$DZU$1000000,594,FALSE)</f>
        <v>#N/A</v>
      </c>
      <c r="P35" s="4" t="e">
        <f>VLOOKUP(A1,InvoicesData!$A$1:$DZU$1000000,595,FALSE)</f>
        <v>#N/A</v>
      </c>
      <c r="Q35" s="11" t="e">
        <f>VLOOKUP(A1,InvoicesData!$A$1:$DZU$1000000,596,FALSE)</f>
        <v>#N/A</v>
      </c>
    </row>
    <row r="36" spans="1:17">
      <c r="A36" s="12" t="e">
        <f>VLOOKUP(A1,InvoicesData!$A$1:$DZU$1000000,597,FALSE)</f>
        <v>#N/A</v>
      </c>
      <c r="B36" s="4" t="e">
        <f>VLOOKUP(A1,InvoicesData!$A$1:$DZU$1000000,598,FALSE)</f>
        <v>#N/A</v>
      </c>
      <c r="C36" s="4" t="e">
        <f>VLOOKUP(A1,InvoicesData!$A$1:$DZU$1000000,599,FALSE)</f>
        <v>#N/A</v>
      </c>
      <c r="D36" s="4" t="e">
        <f>VLOOKUP(A1,InvoicesData!$A$1:$DZU$1000000,600,FALSE)</f>
        <v>#N/A</v>
      </c>
      <c r="E36" s="4" t="e">
        <f>VLOOKUP(A1,InvoicesData!$A$1:$DZU$1000000,601,FALSE)</f>
        <v>#N/A</v>
      </c>
      <c r="F36" s="4" t="e">
        <f>VLOOKUP(A1,InvoicesData!$A$1:$DZU$1000000,602,FALSE)</f>
        <v>#N/A</v>
      </c>
      <c r="G36" s="4" t="e">
        <f>VLOOKUP(A1,InvoicesData!$A$1:$DZU$1000000,603,FALSE)</f>
        <v>#N/A</v>
      </c>
      <c r="H36" s="4" t="e">
        <f>VLOOKUP(A1,InvoicesData!$A$1:$DZU$1000000,604,FALSE)</f>
        <v>#N/A</v>
      </c>
      <c r="I36" s="4" t="e">
        <f>VLOOKUP(A1,InvoicesData!$A$1:$DZU$1000000,605,FALSE)</f>
        <v>#N/A</v>
      </c>
      <c r="J36" s="4" t="e">
        <f>VLOOKUP(A1,InvoicesData!$A$1:$DZU$1000000,606,FALSE)</f>
        <v>#N/A</v>
      </c>
      <c r="K36" s="4" t="e">
        <f>VLOOKUP(A1,InvoicesData!$A$1:$DZU$1000000,607,FALSE)</f>
        <v>#N/A</v>
      </c>
      <c r="L36" s="4" t="e">
        <f>VLOOKUP(A1,InvoicesData!$A$1:$DZU$1000000,608,FALSE)</f>
        <v>#N/A</v>
      </c>
      <c r="M36" s="4" t="e">
        <f>VLOOKUP(A1,InvoicesData!$A$1:$DZU$1000000,609,FALSE)</f>
        <v>#N/A</v>
      </c>
      <c r="N36" s="4" t="e">
        <f>VLOOKUP(A1,InvoicesData!$A$1:$DZU$1000000,610,FALSE)</f>
        <v>#N/A</v>
      </c>
      <c r="O36" s="4" t="e">
        <f>VLOOKUP(A1,InvoicesData!$A$1:$DZU$1000000,611,FALSE)</f>
        <v>#N/A</v>
      </c>
      <c r="P36" s="4" t="e">
        <f>VLOOKUP(A1,InvoicesData!$A$1:$DZU$1000000,612,FALSE)</f>
        <v>#N/A</v>
      </c>
      <c r="Q36" s="11" t="e">
        <f>VLOOKUP(A1,InvoicesData!$A$1:$DZU$1000000,613,FALSE)</f>
        <v>#N/A</v>
      </c>
    </row>
    <row r="37" spans="1:17">
      <c r="A37" s="12" t="e">
        <f>VLOOKUP(A1,InvoicesData!$A$1:$DZU$1000000,614,FALSE)</f>
        <v>#N/A</v>
      </c>
      <c r="B37" s="4" t="e">
        <f>VLOOKUP(A1,InvoicesData!$A$1:$DZU$1000000,615,FALSE)</f>
        <v>#N/A</v>
      </c>
      <c r="C37" s="4" t="e">
        <f>VLOOKUP(A1,InvoicesData!$A$1:$DZU$1000000,616,FALSE)</f>
        <v>#N/A</v>
      </c>
      <c r="D37" s="4" t="e">
        <f>VLOOKUP(A1,InvoicesData!$A$1:$DZU$1000000,617,FALSE)</f>
        <v>#N/A</v>
      </c>
      <c r="E37" s="4" t="e">
        <f>VLOOKUP(A1,InvoicesData!$A$1:$DZU$1000000,618,FALSE)</f>
        <v>#N/A</v>
      </c>
      <c r="F37" s="4" t="e">
        <f>VLOOKUP(A1,InvoicesData!$A$1:$DZU$1000000,619,FALSE)</f>
        <v>#N/A</v>
      </c>
      <c r="G37" s="4" t="e">
        <f>VLOOKUP(A1,InvoicesData!$A$1:$DZU$1000000,620,FALSE)</f>
        <v>#N/A</v>
      </c>
      <c r="H37" s="4" t="e">
        <f>VLOOKUP(A1,InvoicesData!$A$1:$DZU$1000000,621,FALSE)</f>
        <v>#N/A</v>
      </c>
      <c r="I37" s="4" t="e">
        <f>VLOOKUP(A1,InvoicesData!$A$1:$DZU$1000000,622,FALSE)</f>
        <v>#N/A</v>
      </c>
      <c r="J37" s="4" t="e">
        <f>VLOOKUP(A1,InvoicesData!$A$1:$DZU$1000000,623,FALSE)</f>
        <v>#N/A</v>
      </c>
      <c r="K37" s="4" t="e">
        <f>VLOOKUP(A1,InvoicesData!$A$1:$DZU$1000000,624,FALSE)</f>
        <v>#N/A</v>
      </c>
      <c r="L37" s="4" t="e">
        <f>VLOOKUP(A1,InvoicesData!$A$1:$DZU$1000000,625,FALSE)</f>
        <v>#N/A</v>
      </c>
      <c r="M37" s="4" t="e">
        <f>VLOOKUP(A1,InvoicesData!$A$1:$DZU$1000000,626,FALSE)</f>
        <v>#N/A</v>
      </c>
      <c r="N37" s="4" t="e">
        <f>VLOOKUP(A1,InvoicesData!$A$1:$DZU$1000000,627,FALSE)</f>
        <v>#N/A</v>
      </c>
      <c r="O37" s="4" t="e">
        <f>VLOOKUP(A1,InvoicesData!$A$1:$DZU$1000000,628,FALSE)</f>
        <v>#N/A</v>
      </c>
      <c r="P37" s="4" t="e">
        <f>VLOOKUP(A1,InvoicesData!$A$1:$DZU$1000000,629,FALSE)</f>
        <v>#N/A</v>
      </c>
      <c r="Q37" s="11" t="e">
        <f>VLOOKUP(A1,InvoicesData!$A$1:$DZU$1000000,630,FALSE)</f>
        <v>#N/A</v>
      </c>
    </row>
    <row r="38" spans="1:17">
      <c r="A38" s="12" t="e">
        <f>VLOOKUP(A1,InvoicesData!$A$1:$DZU$1000000,631,FALSE)</f>
        <v>#N/A</v>
      </c>
      <c r="B38" s="4" t="e">
        <f>VLOOKUP(A1,InvoicesData!$A$1:$DZU$1000000,632,FALSE)</f>
        <v>#N/A</v>
      </c>
      <c r="C38" s="4" t="e">
        <f>VLOOKUP(A1,InvoicesData!$A$1:$DZU$1000000,633,FALSE)</f>
        <v>#N/A</v>
      </c>
      <c r="D38" s="4" t="e">
        <f>VLOOKUP(A1,InvoicesData!$A$1:$DZU$1000000,634,FALSE)</f>
        <v>#N/A</v>
      </c>
      <c r="E38" s="4" t="e">
        <f>VLOOKUP(A1,InvoicesData!$A$1:$DZU$1000000,635,FALSE)</f>
        <v>#N/A</v>
      </c>
      <c r="F38" s="4" t="e">
        <f>VLOOKUP(A1,InvoicesData!$A$1:$DZU$1000000,636,FALSE)</f>
        <v>#N/A</v>
      </c>
      <c r="G38" s="4" t="e">
        <f>VLOOKUP(A1,InvoicesData!$A$1:$DZU$1000000,637,FALSE)</f>
        <v>#N/A</v>
      </c>
      <c r="H38" s="4" t="e">
        <f>VLOOKUP(A1,InvoicesData!$A$1:$DZU$1000000,638,FALSE)</f>
        <v>#N/A</v>
      </c>
      <c r="I38" s="4" t="e">
        <f>VLOOKUP(A1,InvoicesData!$A$1:$DZU$1000000,639,FALSE)</f>
        <v>#N/A</v>
      </c>
      <c r="J38" s="4" t="e">
        <f>VLOOKUP(A1,InvoicesData!$A$1:$DZU$1000000,640,FALSE)</f>
        <v>#N/A</v>
      </c>
      <c r="K38" s="4" t="e">
        <f>VLOOKUP(A1,InvoicesData!$A$1:$DZU$1000000,641,FALSE)</f>
        <v>#N/A</v>
      </c>
      <c r="L38" s="4" t="e">
        <f>VLOOKUP(A1,InvoicesData!$A$1:$DZU$1000000,642,FALSE)</f>
        <v>#N/A</v>
      </c>
      <c r="M38" s="4" t="e">
        <f>VLOOKUP(A1,InvoicesData!$A$1:$DZU$1000000,643,FALSE)</f>
        <v>#N/A</v>
      </c>
      <c r="N38" s="4" t="e">
        <f>VLOOKUP(A1,InvoicesData!$A$1:$DZU$1000000,644,FALSE)</f>
        <v>#N/A</v>
      </c>
      <c r="O38" s="4" t="e">
        <f>VLOOKUP(A1,InvoicesData!$A$1:$DZU$1000000,645,FALSE)</f>
        <v>#N/A</v>
      </c>
      <c r="P38" s="4" t="e">
        <f>VLOOKUP(A1,InvoicesData!$A$1:$DZU$1000000,646,FALSE)</f>
        <v>#N/A</v>
      </c>
      <c r="Q38" s="11" t="e">
        <f>VLOOKUP(A1,InvoicesData!$A$1:$DZU$1000000,647,FALSE)</f>
        <v>#N/A</v>
      </c>
    </row>
    <row r="39" spans="1:17">
      <c r="A39" s="12" t="e">
        <f>VLOOKUP(A1,InvoicesData!$A$1:$DZU$1000000,648,FALSE)</f>
        <v>#N/A</v>
      </c>
      <c r="B39" s="4" t="e">
        <f>VLOOKUP(A1,InvoicesData!$A$1:$DZU$1000000,649,FALSE)</f>
        <v>#N/A</v>
      </c>
      <c r="C39" s="4" t="e">
        <f>VLOOKUP(A1,InvoicesData!$A$1:$DZU$1000000,650,FALSE)</f>
        <v>#N/A</v>
      </c>
      <c r="D39" s="4" t="e">
        <f>VLOOKUP(A1,InvoicesData!$A$1:$DZU$1000000,651,FALSE)</f>
        <v>#N/A</v>
      </c>
      <c r="E39" s="4" t="e">
        <f>VLOOKUP(A1,InvoicesData!$A$1:$DZU$1000000,652,FALSE)</f>
        <v>#N/A</v>
      </c>
      <c r="F39" s="4" t="e">
        <f>VLOOKUP(A1,InvoicesData!$A$1:$DZU$1000000,653,FALSE)</f>
        <v>#N/A</v>
      </c>
      <c r="G39" s="4" t="e">
        <f>VLOOKUP(A1,InvoicesData!$A$1:$DZU$1000000,654,FALSE)</f>
        <v>#N/A</v>
      </c>
      <c r="H39" s="4" t="e">
        <f>VLOOKUP(A1,InvoicesData!$A$1:$DZU$1000000,655,FALSE)</f>
        <v>#N/A</v>
      </c>
      <c r="I39" s="4" t="e">
        <f>VLOOKUP(A1,InvoicesData!$A$1:$DZU$1000000,656,FALSE)</f>
        <v>#N/A</v>
      </c>
      <c r="J39" s="4" t="e">
        <f>VLOOKUP(A1,InvoicesData!$A$1:$DZU$1000000,657,FALSE)</f>
        <v>#N/A</v>
      </c>
      <c r="K39" s="4" t="e">
        <f>VLOOKUP(A1,InvoicesData!$A$1:$DZU$1000000,658,FALSE)</f>
        <v>#N/A</v>
      </c>
      <c r="L39" s="4" t="e">
        <f>VLOOKUP(A1,InvoicesData!$A$1:$DZU$1000000,659,FALSE)</f>
        <v>#N/A</v>
      </c>
      <c r="M39" s="4" t="e">
        <f>VLOOKUP(A1,InvoicesData!$A$1:$DZU$1000000,660,FALSE)</f>
        <v>#N/A</v>
      </c>
      <c r="N39" s="4" t="e">
        <f>VLOOKUP(A1,InvoicesData!$A$1:$DZU$1000000,661,FALSE)</f>
        <v>#N/A</v>
      </c>
      <c r="O39" s="4" t="e">
        <f>VLOOKUP(A1,InvoicesData!$A$1:$DZU$1000000,662,FALSE)</f>
        <v>#N/A</v>
      </c>
      <c r="P39" s="4" t="e">
        <f>VLOOKUP(A1,InvoicesData!$A$1:$DZU$1000000,663,FALSE)</f>
        <v>#N/A</v>
      </c>
      <c r="Q39" s="11" t="e">
        <f>VLOOKUP(A1,InvoicesData!$A$1:$DZU$1000000,664,FALSE)</f>
        <v>#N/A</v>
      </c>
    </row>
    <row r="40" spans="1:17">
      <c r="A40" s="12" t="e">
        <f>VLOOKUP(A1,InvoicesData!$A$1:$DZU$1000000,665,FALSE)</f>
        <v>#N/A</v>
      </c>
      <c r="B40" s="4" t="e">
        <f>VLOOKUP(A1,InvoicesData!$A$1:$DZU$1000000,666,FALSE)</f>
        <v>#N/A</v>
      </c>
      <c r="C40" s="4" t="e">
        <f>VLOOKUP(A1,InvoicesData!$A$1:$DZU$1000000,667,FALSE)</f>
        <v>#N/A</v>
      </c>
      <c r="D40" s="4" t="e">
        <f>VLOOKUP(A1,InvoicesData!$A$1:$DZU$1000000,668,FALSE)</f>
        <v>#N/A</v>
      </c>
      <c r="E40" s="4" t="e">
        <f>VLOOKUP(A1,InvoicesData!$A$1:$DZU$1000000,669,FALSE)</f>
        <v>#N/A</v>
      </c>
      <c r="F40" s="4" t="e">
        <f>VLOOKUP(A1,InvoicesData!$A$1:$DZU$1000000,670,FALSE)</f>
        <v>#N/A</v>
      </c>
      <c r="G40" s="4" t="e">
        <f>VLOOKUP(A1,InvoicesData!$A$1:$DZU$1000000,671,FALSE)</f>
        <v>#N/A</v>
      </c>
      <c r="H40" s="4" t="e">
        <f>VLOOKUP(A1,InvoicesData!$A$1:$DZU$1000000,672,FALSE)</f>
        <v>#N/A</v>
      </c>
      <c r="I40" s="4" t="e">
        <f>VLOOKUP(A1,InvoicesData!$A$1:$DZU$1000000,673,FALSE)</f>
        <v>#N/A</v>
      </c>
      <c r="J40" s="4" t="e">
        <f>VLOOKUP(A1,InvoicesData!$A$1:$DZU$1000000,674,FALSE)</f>
        <v>#N/A</v>
      </c>
      <c r="K40" s="4" t="e">
        <f>VLOOKUP(A1,InvoicesData!$A$1:$DZU$1000000,675,FALSE)</f>
        <v>#N/A</v>
      </c>
      <c r="L40" s="4" t="e">
        <f>VLOOKUP(A1,InvoicesData!$A$1:$DZU$1000000,676,FALSE)</f>
        <v>#N/A</v>
      </c>
      <c r="M40" s="4" t="e">
        <f>VLOOKUP(A1,InvoicesData!$A$1:$DZU$1000000,677,FALSE)</f>
        <v>#N/A</v>
      </c>
      <c r="N40" s="4" t="e">
        <f>VLOOKUP(A1,InvoicesData!$A$1:$DZU$1000000,678,FALSE)</f>
        <v>#N/A</v>
      </c>
      <c r="O40" s="4" t="e">
        <f>VLOOKUP(A1,InvoicesData!$A$1:$DZU$1000000,679,FALSE)</f>
        <v>#N/A</v>
      </c>
      <c r="P40" s="4" t="e">
        <f>VLOOKUP(A1,InvoicesData!$A$1:$DZU$1000000,680,FALSE)</f>
        <v>#N/A</v>
      </c>
      <c r="Q40" s="11" t="e">
        <f>VLOOKUP(A1,InvoicesData!$A$1:$DZU$1000000,681,FALSE)</f>
        <v>#N/A</v>
      </c>
    </row>
    <row r="41" spans="1:17">
      <c r="A41" s="12" t="e">
        <f>VLOOKUP(A1,InvoicesData!$A$1:$DZU$1000000,682,FALSE)</f>
        <v>#N/A</v>
      </c>
      <c r="B41" s="4" t="e">
        <f>VLOOKUP(A1,InvoicesData!$A$1:$DZU$1000000,683,FALSE)</f>
        <v>#N/A</v>
      </c>
      <c r="C41" s="4" t="e">
        <f>VLOOKUP(A1,InvoicesData!$A$1:$DZU$1000000,684,FALSE)</f>
        <v>#N/A</v>
      </c>
      <c r="D41" s="4" t="e">
        <f>VLOOKUP(A1,InvoicesData!$A$1:$DZU$1000000,685,FALSE)</f>
        <v>#N/A</v>
      </c>
      <c r="E41" s="4" t="e">
        <f>VLOOKUP(A1,InvoicesData!$A$1:$DZU$1000000,686,FALSE)</f>
        <v>#N/A</v>
      </c>
      <c r="F41" s="4" t="e">
        <f>VLOOKUP(A1,InvoicesData!$A$1:$DZU$1000000,687,FALSE)</f>
        <v>#N/A</v>
      </c>
      <c r="G41" s="4" t="e">
        <f>VLOOKUP(A1,InvoicesData!$A$1:$DZU$1000000,688,FALSE)</f>
        <v>#N/A</v>
      </c>
      <c r="H41" s="4" t="e">
        <f>VLOOKUP(A1,InvoicesData!$A$1:$DZU$1000000,689,FALSE)</f>
        <v>#N/A</v>
      </c>
      <c r="I41" s="4" t="e">
        <f>VLOOKUP(A1,InvoicesData!$A$1:$DZU$1000000,690,FALSE)</f>
        <v>#N/A</v>
      </c>
      <c r="J41" s="4" t="e">
        <f>VLOOKUP(A1,InvoicesData!$A$1:$DZU$1000000,691,FALSE)</f>
        <v>#N/A</v>
      </c>
      <c r="K41" s="4" t="e">
        <f>VLOOKUP(A1,InvoicesData!$A$1:$DZU$1000000,692,FALSE)</f>
        <v>#N/A</v>
      </c>
      <c r="L41" s="4" t="e">
        <f>VLOOKUP(A1,InvoicesData!$A$1:$DZU$1000000,693,FALSE)</f>
        <v>#N/A</v>
      </c>
      <c r="M41" s="4" t="e">
        <f>VLOOKUP(A1,InvoicesData!$A$1:$DZU$1000000,694,FALSE)</f>
        <v>#N/A</v>
      </c>
      <c r="N41" s="4" t="e">
        <f>VLOOKUP(A1,InvoicesData!$A$1:$DZU$1000000,695,FALSE)</f>
        <v>#N/A</v>
      </c>
      <c r="O41" s="4" t="e">
        <f>VLOOKUP(A1,InvoicesData!$A$1:$DZU$1000000,696,FALSE)</f>
        <v>#N/A</v>
      </c>
      <c r="P41" s="4" t="e">
        <f>VLOOKUP(A1,InvoicesData!$A$1:$DZU$1000000,697,FALSE)</f>
        <v>#N/A</v>
      </c>
      <c r="Q41" s="11" t="e">
        <f>VLOOKUP(A1,InvoicesData!$A$1:$DZU$1000000,698,FALSE)</f>
        <v>#N/A</v>
      </c>
    </row>
    <row r="42" spans="1:17">
      <c r="A42" s="12" t="e">
        <f>VLOOKUP(A1,InvoicesData!$A$1:$DZU$1000000,699,FALSE)</f>
        <v>#N/A</v>
      </c>
      <c r="B42" s="4" t="e">
        <f>VLOOKUP(A1,InvoicesData!$A$1:$DZU$1000000,700,FALSE)</f>
        <v>#N/A</v>
      </c>
      <c r="C42" s="4" t="e">
        <f>VLOOKUP(A1,InvoicesData!$A$1:$DZU$1000000,701,FALSE)</f>
        <v>#N/A</v>
      </c>
      <c r="D42" s="4" t="e">
        <f>VLOOKUP(A1,InvoicesData!$A$1:$DZU$1000000,702,FALSE)</f>
        <v>#N/A</v>
      </c>
      <c r="E42" s="4" t="e">
        <f>VLOOKUP(A1,InvoicesData!$A$1:$DZU$1000000,703,FALSE)</f>
        <v>#N/A</v>
      </c>
      <c r="F42" s="4" t="e">
        <f>VLOOKUP(A1,InvoicesData!$A$1:$DZU$1000000,704,FALSE)</f>
        <v>#N/A</v>
      </c>
      <c r="G42" s="4" t="e">
        <f>VLOOKUP(A1,InvoicesData!$A$1:$DZU$1000000,705,FALSE)</f>
        <v>#N/A</v>
      </c>
      <c r="H42" s="4" t="e">
        <f>VLOOKUP(A1,InvoicesData!$A$1:$DZU$1000000,706,FALSE)</f>
        <v>#N/A</v>
      </c>
      <c r="I42" s="4" t="e">
        <f>VLOOKUP(A1,InvoicesData!$A$1:$DZU$1000000,707,FALSE)</f>
        <v>#N/A</v>
      </c>
      <c r="J42" s="4" t="e">
        <f>VLOOKUP(A1,InvoicesData!$A$1:$DZU$1000000,708,FALSE)</f>
        <v>#N/A</v>
      </c>
      <c r="K42" s="4" t="e">
        <f>VLOOKUP(A1,InvoicesData!$A$1:$DZU$1000000,709,FALSE)</f>
        <v>#N/A</v>
      </c>
      <c r="L42" s="4" t="e">
        <f>VLOOKUP(A1,InvoicesData!$A$1:$DZU$1000000,710,FALSE)</f>
        <v>#N/A</v>
      </c>
      <c r="M42" s="4" t="e">
        <f>VLOOKUP(A1,InvoicesData!$A$1:$DZU$1000000,711,FALSE)</f>
        <v>#N/A</v>
      </c>
      <c r="N42" s="4" t="e">
        <f>VLOOKUP(A1,InvoicesData!$A$1:$DZU$1000000,712,FALSE)</f>
        <v>#N/A</v>
      </c>
      <c r="O42" s="4" t="e">
        <f>VLOOKUP(A1,InvoicesData!$A$1:$DZU$1000000,713,FALSE)</f>
        <v>#N/A</v>
      </c>
      <c r="P42" s="4" t="e">
        <f>VLOOKUP(A1,InvoicesData!$A$1:$DZU$1000000,714,FALSE)</f>
        <v>#N/A</v>
      </c>
      <c r="Q42" s="11" t="e">
        <f>VLOOKUP(A1,InvoicesData!$A$1:$DZU$1000000,715,FALSE)</f>
        <v>#N/A</v>
      </c>
    </row>
    <row r="43" spans="1:17">
      <c r="A43" s="12" t="e">
        <f>VLOOKUP(A1,InvoicesData!$A$1:$DZU$1000000,716,FALSE)</f>
        <v>#N/A</v>
      </c>
      <c r="B43" s="4" t="e">
        <f>VLOOKUP(A1,InvoicesData!$A$1:$DZU$1000000,717,FALSE)</f>
        <v>#N/A</v>
      </c>
      <c r="C43" s="4" t="e">
        <f>VLOOKUP(A1,InvoicesData!$A$1:$DZU$1000000,718,FALSE)</f>
        <v>#N/A</v>
      </c>
      <c r="D43" s="4" t="e">
        <f>VLOOKUP(A1,InvoicesData!$A$1:$DZU$1000000,719,FALSE)</f>
        <v>#N/A</v>
      </c>
      <c r="E43" s="4" t="e">
        <f>VLOOKUP(A1,InvoicesData!$A$1:$DZU$1000000,720,FALSE)</f>
        <v>#N/A</v>
      </c>
      <c r="F43" s="4" t="e">
        <f>VLOOKUP(A1,InvoicesData!$A$1:$DZU$1000000,721,FALSE)</f>
        <v>#N/A</v>
      </c>
      <c r="G43" s="4" t="e">
        <f>VLOOKUP(A1,InvoicesData!$A$1:$DZU$1000000,722,FALSE)</f>
        <v>#N/A</v>
      </c>
      <c r="H43" s="4" t="e">
        <f>VLOOKUP(A1,InvoicesData!$A$1:$DZU$1000000,723,FALSE)</f>
        <v>#N/A</v>
      </c>
      <c r="I43" s="4" t="e">
        <f>VLOOKUP(A1,InvoicesData!$A$1:$DZU$1000000,724,FALSE)</f>
        <v>#N/A</v>
      </c>
      <c r="J43" s="4" t="e">
        <f>VLOOKUP(A1,InvoicesData!$A$1:$DZU$1000000,725,FALSE)</f>
        <v>#N/A</v>
      </c>
      <c r="K43" s="4" t="e">
        <f>VLOOKUP(A1,InvoicesData!$A$1:$DZU$1000000,726,FALSE)</f>
        <v>#N/A</v>
      </c>
      <c r="L43" s="4" t="e">
        <f>VLOOKUP(A1,InvoicesData!$A$1:$DZU$1000000,727,FALSE)</f>
        <v>#N/A</v>
      </c>
      <c r="M43" s="4" t="e">
        <f>VLOOKUP(A1,InvoicesData!$A$1:$DZU$1000000,728,FALSE)</f>
        <v>#N/A</v>
      </c>
      <c r="N43" s="4" t="e">
        <f>VLOOKUP(A1,InvoicesData!$A$1:$DZU$1000000,729,FALSE)</f>
        <v>#N/A</v>
      </c>
      <c r="O43" s="4" t="e">
        <f>VLOOKUP(A1,InvoicesData!$A$1:$DZU$1000000,730,FALSE)</f>
        <v>#N/A</v>
      </c>
      <c r="P43" s="4" t="e">
        <f>VLOOKUP(A1,InvoicesData!$A$1:$DZU$1000000,731,FALSE)</f>
        <v>#N/A</v>
      </c>
      <c r="Q43" s="11" t="e">
        <f>VLOOKUP(A1,InvoicesData!$A$1:$DZU$1000000,732,FALSE)</f>
        <v>#N/A</v>
      </c>
    </row>
    <row r="44" spans="1:17">
      <c r="A44" s="12" t="e">
        <f>VLOOKUP(A1,InvoicesData!$A$1:$DZU$1000000,733,FALSE)</f>
        <v>#N/A</v>
      </c>
      <c r="B44" s="4" t="e">
        <f>VLOOKUP(A1,InvoicesData!$A$1:$DZU$1000000,734,FALSE)</f>
        <v>#N/A</v>
      </c>
      <c r="C44" s="4" t="e">
        <f>VLOOKUP(A1,InvoicesData!$A$1:$DZU$1000000,735,FALSE)</f>
        <v>#N/A</v>
      </c>
      <c r="D44" s="4" t="e">
        <f>VLOOKUP(A1,InvoicesData!$A$1:$DZU$1000000,736,FALSE)</f>
        <v>#N/A</v>
      </c>
      <c r="E44" s="4" t="e">
        <f>VLOOKUP(A1,InvoicesData!$A$1:$DZU$1000000,737,FALSE)</f>
        <v>#N/A</v>
      </c>
      <c r="F44" s="4" t="e">
        <f>VLOOKUP(A1,InvoicesData!$A$1:$DZU$1000000,738,FALSE)</f>
        <v>#N/A</v>
      </c>
      <c r="G44" s="4" t="e">
        <f>VLOOKUP(A1,InvoicesData!$A$1:$DZU$1000000,739,FALSE)</f>
        <v>#N/A</v>
      </c>
      <c r="H44" s="4" t="e">
        <f>VLOOKUP(A1,InvoicesData!$A$1:$DZU$1000000,740,FALSE)</f>
        <v>#N/A</v>
      </c>
      <c r="I44" s="4" t="e">
        <f>VLOOKUP(A1,InvoicesData!$A$1:$DZU$1000000,741,FALSE)</f>
        <v>#N/A</v>
      </c>
      <c r="J44" s="4" t="e">
        <f>VLOOKUP(A1,InvoicesData!$A$1:$DZU$1000000,742,FALSE)</f>
        <v>#N/A</v>
      </c>
      <c r="K44" s="4" t="e">
        <f>VLOOKUP(A1,InvoicesData!$A$1:$DZU$1000000,743,FALSE)</f>
        <v>#N/A</v>
      </c>
      <c r="L44" s="4" t="e">
        <f>VLOOKUP(A1,InvoicesData!$A$1:$DZU$1000000,744,FALSE)</f>
        <v>#N/A</v>
      </c>
      <c r="M44" s="4" t="e">
        <f>VLOOKUP(A1,InvoicesData!$A$1:$DZU$1000000,745,FALSE)</f>
        <v>#N/A</v>
      </c>
      <c r="N44" s="4" t="e">
        <f>VLOOKUP(A1,InvoicesData!$A$1:$DZU$1000000,746,FALSE)</f>
        <v>#N/A</v>
      </c>
      <c r="O44" s="4" t="e">
        <f>VLOOKUP(A1,InvoicesData!$A$1:$DZU$1000000,747,FALSE)</f>
        <v>#N/A</v>
      </c>
      <c r="P44" s="4" t="e">
        <f>VLOOKUP(A1,InvoicesData!$A$1:$DZU$1000000,748,FALSE)</f>
        <v>#N/A</v>
      </c>
      <c r="Q44" s="11" t="e">
        <f>VLOOKUP(A1,InvoicesData!$A$1:$DZU$1000000,749,FALSE)</f>
        <v>#N/A</v>
      </c>
    </row>
    <row r="45" spans="1:17">
      <c r="A45" s="12" t="e">
        <f>VLOOKUP(A1,InvoicesData!$A$1:$DZU$1000000,750,FALSE)</f>
        <v>#N/A</v>
      </c>
      <c r="B45" s="4" t="e">
        <f>VLOOKUP(A1,InvoicesData!$A$1:$DZU$1000000,751,FALSE)</f>
        <v>#N/A</v>
      </c>
      <c r="C45" s="4" t="e">
        <f>VLOOKUP(A1,InvoicesData!$A$1:$DZU$1000000,752,FALSE)</f>
        <v>#N/A</v>
      </c>
      <c r="D45" s="4" t="e">
        <f>VLOOKUP(A1,InvoicesData!$A$1:$DZU$1000000,753,FALSE)</f>
        <v>#N/A</v>
      </c>
      <c r="E45" s="4" t="e">
        <f>VLOOKUP(A1,InvoicesData!$A$1:$DZU$1000000,754,FALSE)</f>
        <v>#N/A</v>
      </c>
      <c r="F45" s="4" t="e">
        <f>VLOOKUP(A1,InvoicesData!$A$1:$DZU$1000000,755,FALSE)</f>
        <v>#N/A</v>
      </c>
      <c r="G45" s="4" t="e">
        <f>VLOOKUP(A1,InvoicesData!$A$1:$DZU$1000000,756,FALSE)</f>
        <v>#N/A</v>
      </c>
      <c r="H45" s="4" t="e">
        <f>VLOOKUP(A1,InvoicesData!$A$1:$DZU$1000000,757,FALSE)</f>
        <v>#N/A</v>
      </c>
      <c r="I45" s="4" t="e">
        <f>VLOOKUP(A1,InvoicesData!$A$1:$DZU$1000000,758,FALSE)</f>
        <v>#N/A</v>
      </c>
      <c r="J45" s="4" t="e">
        <f>VLOOKUP(A1,InvoicesData!$A$1:$DZU$1000000,759,FALSE)</f>
        <v>#N/A</v>
      </c>
      <c r="K45" s="4" t="e">
        <f>VLOOKUP(A1,InvoicesData!$A$1:$DZU$1000000,760,FALSE)</f>
        <v>#N/A</v>
      </c>
      <c r="L45" s="4" t="e">
        <f>VLOOKUP(A1,InvoicesData!$A$1:$DZU$1000000,761,FALSE)</f>
        <v>#N/A</v>
      </c>
      <c r="M45" s="4" t="e">
        <f>VLOOKUP(A1,InvoicesData!$A$1:$DZU$1000000,762,FALSE)</f>
        <v>#N/A</v>
      </c>
      <c r="N45" s="4" t="e">
        <f>VLOOKUP(A1,InvoicesData!$A$1:$DZU$1000000,763,FALSE)</f>
        <v>#N/A</v>
      </c>
      <c r="O45" s="4" t="e">
        <f>VLOOKUP(A1,InvoicesData!$A$1:$DZU$1000000,764,FALSE)</f>
        <v>#N/A</v>
      </c>
      <c r="P45" s="4" t="e">
        <f>VLOOKUP(A1,InvoicesData!$A$1:$DZU$1000000,765,FALSE)</f>
        <v>#N/A</v>
      </c>
      <c r="Q45" s="11" t="e">
        <f>VLOOKUP(A1,InvoicesData!$A$1:$DZU$1000000,766,FALSE)</f>
        <v>#N/A</v>
      </c>
    </row>
    <row r="46" spans="1:17">
      <c r="A46" s="12" t="e">
        <f>VLOOKUP(A1,InvoicesData!$A$1:$DZU$1000000,767,FALSE)</f>
        <v>#N/A</v>
      </c>
      <c r="B46" s="4" t="e">
        <f>VLOOKUP(A1,InvoicesData!$A$1:$DZU$1000000,768,FALSE)</f>
        <v>#N/A</v>
      </c>
      <c r="C46" s="4" t="e">
        <f>VLOOKUP(A1,InvoicesData!$A$1:$DZU$1000000,769,FALSE)</f>
        <v>#N/A</v>
      </c>
      <c r="D46" s="4" t="e">
        <f>VLOOKUP(A1,InvoicesData!$A$1:$DZU$1000000,770,FALSE)</f>
        <v>#N/A</v>
      </c>
      <c r="E46" s="4" t="e">
        <f>VLOOKUP(A1,InvoicesData!$A$1:$DZU$1000000,771,FALSE)</f>
        <v>#N/A</v>
      </c>
      <c r="F46" s="4" t="e">
        <f>VLOOKUP(A1,InvoicesData!$A$1:$DZU$1000000,772,FALSE)</f>
        <v>#N/A</v>
      </c>
      <c r="G46" s="4" t="e">
        <f>VLOOKUP(A1,InvoicesData!$A$1:$DZU$1000000,773,FALSE)</f>
        <v>#N/A</v>
      </c>
      <c r="H46" s="4" t="e">
        <f>VLOOKUP(A1,InvoicesData!$A$1:$DZU$1000000,774,FALSE)</f>
        <v>#N/A</v>
      </c>
      <c r="I46" s="4" t="e">
        <f>VLOOKUP(A1,InvoicesData!$A$1:$DZU$1000000,775,FALSE)</f>
        <v>#N/A</v>
      </c>
      <c r="J46" s="4" t="e">
        <f>VLOOKUP(A1,InvoicesData!$A$1:$DZU$1000000,776,FALSE)</f>
        <v>#N/A</v>
      </c>
      <c r="K46" s="4" t="e">
        <f>VLOOKUP(A1,InvoicesData!$A$1:$DZU$1000000,777,FALSE)</f>
        <v>#N/A</v>
      </c>
      <c r="L46" s="4" t="e">
        <f>VLOOKUP(A1,InvoicesData!$A$1:$DZU$1000000,778,FALSE)</f>
        <v>#N/A</v>
      </c>
      <c r="M46" s="4" t="e">
        <f>VLOOKUP(A1,InvoicesData!$A$1:$DZU$1000000,779,FALSE)</f>
        <v>#N/A</v>
      </c>
      <c r="N46" s="4" t="e">
        <f>VLOOKUP(A1,InvoicesData!$A$1:$DZU$1000000,780,FALSE)</f>
        <v>#N/A</v>
      </c>
      <c r="O46" s="4" t="e">
        <f>VLOOKUP(A1,InvoicesData!$A$1:$DZU$1000000,781,FALSE)</f>
        <v>#N/A</v>
      </c>
      <c r="P46" s="4" t="e">
        <f>VLOOKUP(A1,InvoicesData!$A$1:$DZU$1000000,782,FALSE)</f>
        <v>#N/A</v>
      </c>
      <c r="Q46" s="11" t="e">
        <f>VLOOKUP(A1,InvoicesData!$A$1:$DZU$1000000,783,FALSE)</f>
        <v>#N/A</v>
      </c>
    </row>
    <row r="47" spans="1:17">
      <c r="A47" s="12" t="e">
        <f>VLOOKUP(A1,InvoicesData!$A$1:$DZU$1000000,784,FALSE)</f>
        <v>#N/A</v>
      </c>
      <c r="B47" s="4" t="e">
        <f>VLOOKUP(A1,InvoicesData!$A$1:$DZU$1000000,785,FALSE)</f>
        <v>#N/A</v>
      </c>
      <c r="C47" s="4" t="e">
        <f>VLOOKUP(A1,InvoicesData!$A$1:$DZU$1000000,786,FALSE)</f>
        <v>#N/A</v>
      </c>
      <c r="D47" s="4" t="e">
        <f>VLOOKUP(A1,InvoicesData!$A$1:$DZU$1000000,787,FALSE)</f>
        <v>#N/A</v>
      </c>
      <c r="E47" s="4" t="e">
        <f>VLOOKUP(A1,InvoicesData!$A$1:$DZU$1000000,788,FALSE)</f>
        <v>#N/A</v>
      </c>
      <c r="F47" s="4" t="e">
        <f>VLOOKUP(A1,InvoicesData!$A$1:$DZU$1000000,789,FALSE)</f>
        <v>#N/A</v>
      </c>
      <c r="G47" s="4" t="e">
        <f>VLOOKUP(A1,InvoicesData!$A$1:$DZU$1000000,790,FALSE)</f>
        <v>#N/A</v>
      </c>
      <c r="H47" s="4" t="e">
        <f>VLOOKUP(A1,InvoicesData!$A$1:$DZU$1000000,791,FALSE)</f>
        <v>#N/A</v>
      </c>
      <c r="I47" s="4" t="e">
        <f>VLOOKUP(A1,InvoicesData!$A$1:$DZU$1000000,792,FALSE)</f>
        <v>#N/A</v>
      </c>
      <c r="J47" s="4" t="e">
        <f>VLOOKUP(A1,InvoicesData!$A$1:$DZU$1000000,793,FALSE)</f>
        <v>#N/A</v>
      </c>
      <c r="K47" s="4" t="e">
        <f>VLOOKUP(A1,InvoicesData!$A$1:$DZU$1000000,794,FALSE)</f>
        <v>#N/A</v>
      </c>
      <c r="L47" s="4" t="e">
        <f>VLOOKUP(A1,InvoicesData!$A$1:$DZU$1000000,795,FALSE)</f>
        <v>#N/A</v>
      </c>
      <c r="M47" s="4" t="e">
        <f>VLOOKUP(A1,InvoicesData!$A$1:$DZU$1000000,796,FALSE)</f>
        <v>#N/A</v>
      </c>
      <c r="N47" s="4" t="e">
        <f>VLOOKUP(A1,InvoicesData!$A$1:$DZU$1000000,797,FALSE)</f>
        <v>#N/A</v>
      </c>
      <c r="O47" s="4" t="e">
        <f>VLOOKUP(A1,InvoicesData!$A$1:$DZU$1000000,798,FALSE)</f>
        <v>#N/A</v>
      </c>
      <c r="P47" s="4" t="e">
        <f>VLOOKUP(A1,InvoicesData!$A$1:$DZU$1000000,799,FALSE)</f>
        <v>#N/A</v>
      </c>
      <c r="Q47" s="11" t="e">
        <f>VLOOKUP(A1,InvoicesData!$A$1:$DZU$1000000,800,FALSE)</f>
        <v>#N/A</v>
      </c>
    </row>
    <row r="48" spans="1:17">
      <c r="A48" s="13" t="e">
        <f>VLOOKUP(A1,InvoicesData!$A$1:$DZU$1000000,801,FALSE)</f>
        <v>#N/A</v>
      </c>
      <c r="B48" s="14" t="e">
        <f>VLOOKUP(A1,InvoicesData!$A$1:$DZU$1000000,802,FALSE)</f>
        <v>#N/A</v>
      </c>
      <c r="C48" s="14" t="e">
        <f>VLOOKUP(A1,InvoicesData!$A$1:$DZU$1000000,803,FALSE)</f>
        <v>#N/A</v>
      </c>
      <c r="D48" s="14" t="e">
        <f>VLOOKUP(A1,InvoicesData!$A$1:$DZU$1000000,804,FALSE)</f>
        <v>#N/A</v>
      </c>
      <c r="E48" s="14" t="e">
        <f>VLOOKUP(A1,InvoicesData!$A$1:$DZU$1000000,805,FALSE)</f>
        <v>#N/A</v>
      </c>
      <c r="F48" s="14" t="e">
        <f>VLOOKUP(A1,InvoicesData!$A$1:$DZU$1000000,806,FALSE)</f>
        <v>#N/A</v>
      </c>
      <c r="G48" s="14" t="e">
        <f>VLOOKUP(A1,InvoicesData!$A$1:$DZU$1000000,807,FALSE)</f>
        <v>#N/A</v>
      </c>
      <c r="H48" s="14" t="e">
        <f>VLOOKUP(A1,InvoicesData!$A$1:$DZU$1000000,808,FALSE)</f>
        <v>#N/A</v>
      </c>
      <c r="I48" s="14" t="e">
        <f>VLOOKUP(A1,InvoicesData!$A$1:$DZU$1000000,809,FALSE)</f>
        <v>#N/A</v>
      </c>
      <c r="J48" s="14" t="e">
        <f>VLOOKUP(A1,InvoicesData!$A$1:$DZU$1000000,810,FALSE)</f>
        <v>#N/A</v>
      </c>
      <c r="K48" s="14" t="e">
        <f>VLOOKUP(A1,InvoicesData!$A$1:$DZU$1000000,811,FALSE)</f>
        <v>#N/A</v>
      </c>
      <c r="L48" s="14" t="e">
        <f>VLOOKUP(A1,InvoicesData!$A$1:$DZU$1000000,812,FALSE)</f>
        <v>#N/A</v>
      </c>
      <c r="M48" s="14" t="e">
        <f>VLOOKUP(A1,InvoicesData!$A$1:$DZU$1000000,813,FALSE)</f>
        <v>#N/A</v>
      </c>
      <c r="N48" s="14" t="e">
        <f>VLOOKUP(A1,InvoicesData!$A$1:$DZU$1000000,814,FALSE)</f>
        <v>#N/A</v>
      </c>
      <c r="O48" s="14" t="e">
        <f>VLOOKUP(A1,InvoicesData!$A$1:$DZU$1000000,815,FALSE)</f>
        <v>#N/A</v>
      </c>
      <c r="P48" s="14" t="e">
        <f>VLOOKUP(A1,InvoicesData!$A$1:$DZU$1000000,816,FALSE)</f>
        <v>#N/A</v>
      </c>
      <c r="Q48" s="15" t="e">
        <f>VLOOKUP(A1,InvoicesData!$A$1:$DZU$1000000,817,FALSE)</f>
        <v>#N/A</v>
      </c>
    </row>
    <row r="49" spans="1:17">
      <c r="A49" t="e">
        <f>VLOOKUP(A1,InvoicesData!$A$1:$DZU$1000000,818,FALSE)</f>
        <v>#N/A</v>
      </c>
      <c r="B49" t="e">
        <f>VLOOKUP(A1,InvoicesData!$A$1:$DZU$1000000,819,FALSE)</f>
        <v>#N/A</v>
      </c>
      <c r="C49" t="e">
        <f>VLOOKUP(A1,InvoicesData!$A$1:$DZU$1000000,820,FALSE)</f>
        <v>#N/A</v>
      </c>
      <c r="D49" t="e">
        <f>VLOOKUP(A1,InvoicesData!$A$1:$DZU$1000000,821,FALSE)</f>
        <v>#N/A</v>
      </c>
      <c r="E49" t="e">
        <f>VLOOKUP(A1,InvoicesData!$A$1:$DZU$1000000,822,FALSE)</f>
        <v>#N/A</v>
      </c>
      <c r="F49" t="e">
        <f>VLOOKUP(A1,InvoicesData!$A$1:$DZU$1000000,823,FALSE)</f>
        <v>#N/A</v>
      </c>
      <c r="G49" t="e">
        <f>VLOOKUP(A1,InvoicesData!$A$1:$DZU$1000000,824,FALSE)</f>
        <v>#N/A</v>
      </c>
      <c r="H49" t="e">
        <f>VLOOKUP(A1,InvoicesData!$A$1:$DZU$1000000,825,FALSE)</f>
        <v>#N/A</v>
      </c>
      <c r="I49" t="e">
        <f>VLOOKUP(A1,InvoicesData!$A$1:$DZU$1000000,826,FALSE)</f>
        <v>#N/A</v>
      </c>
      <c r="J49" t="e">
        <f>VLOOKUP(A1,InvoicesData!$A$1:$DZU$1000000,827,FALSE)</f>
        <v>#N/A</v>
      </c>
      <c r="K49" t="e">
        <f>VLOOKUP(A1,InvoicesData!$A$1:$DZU$1000000,828,FALSE)</f>
        <v>#N/A</v>
      </c>
      <c r="L49" t="e">
        <f>VLOOKUP(A1,InvoicesData!$A$1:$DZU$1000000,829,FALSE)</f>
        <v>#N/A</v>
      </c>
      <c r="M49" t="e">
        <f>VLOOKUP(A1,InvoicesData!$A$1:$DZU$1000000,830,FALSE)</f>
        <v>#N/A</v>
      </c>
      <c r="N49" t="e">
        <f>VLOOKUP(A1,InvoicesData!$A$1:$DZU$1000000,831,FALSE)</f>
        <v>#N/A</v>
      </c>
      <c r="O49" t="e">
        <f>VLOOKUP(A1,InvoicesData!$A$1:$DZU$1000000,832,FALSE)</f>
        <v>#N/A</v>
      </c>
      <c r="P49" t="e">
        <f>VLOOKUP(A1,InvoicesData!$A$1:$DZU$1000000,833,FALSE)</f>
        <v>#N/A</v>
      </c>
      <c r="Q49" t="e">
        <f>VLOOKUP(A1,InvoicesData!$A$1:$DZU$1000000,834,FALSE)</f>
        <v>#N/A</v>
      </c>
    </row>
    <row r="50" spans="1:17">
      <c r="A50" t="e">
        <f>VLOOKUP(A1,InvoicesData!$A$1:$DZU$1000000,835,FALSE)</f>
        <v>#N/A</v>
      </c>
      <c r="B50" t="e">
        <f>VLOOKUP(A1,InvoicesData!$A$1:$DZU$1000000,836,FALSE)</f>
        <v>#N/A</v>
      </c>
      <c r="C50" t="e">
        <f>VLOOKUP(A1,InvoicesData!$A$1:$DZU$1000000,837,FALSE)</f>
        <v>#N/A</v>
      </c>
      <c r="D50" t="e">
        <f>VLOOKUP(A1,InvoicesData!$A$1:$DZU$1000000,838,FALSE)</f>
        <v>#N/A</v>
      </c>
      <c r="E50" t="e">
        <f>VLOOKUP(A1,InvoicesData!$A$1:$DZU$1000000,839,FALSE)</f>
        <v>#N/A</v>
      </c>
      <c r="F50" t="e">
        <f>VLOOKUP(A1,InvoicesData!$A$1:$DZU$1000000,840,FALSE)</f>
        <v>#N/A</v>
      </c>
      <c r="G50" t="e">
        <f>VLOOKUP(A1,InvoicesData!$A$1:$DZU$1000000,841,FALSE)</f>
        <v>#N/A</v>
      </c>
      <c r="H50" t="e">
        <f>VLOOKUP(A1,InvoicesData!$A$1:$DZU$1000000,842,FALSE)</f>
        <v>#N/A</v>
      </c>
      <c r="I50" t="e">
        <f>VLOOKUP(A1,InvoicesData!$A$1:$DZU$1000000,843,FALSE)</f>
        <v>#N/A</v>
      </c>
      <c r="J50" t="e">
        <f>VLOOKUP(A1,InvoicesData!$A$1:$DZU$1000000,844,FALSE)</f>
        <v>#N/A</v>
      </c>
      <c r="K50" t="e">
        <f>VLOOKUP(A1,InvoicesData!$A$1:$DZU$1000000,845,FALSE)</f>
        <v>#N/A</v>
      </c>
      <c r="L50" t="e">
        <f>VLOOKUP(A1,InvoicesData!$A$1:$DZU$1000000,846,FALSE)</f>
        <v>#N/A</v>
      </c>
      <c r="M50" t="e">
        <f>VLOOKUP(A1,InvoicesData!$A$1:$DZU$1000000,847,FALSE)</f>
        <v>#N/A</v>
      </c>
      <c r="N50" t="e">
        <f>VLOOKUP(A1,InvoicesData!$A$1:$DZU$1000000,848,FALSE)</f>
        <v>#N/A</v>
      </c>
      <c r="O50" t="e">
        <f>VLOOKUP(A1,InvoicesData!$A$1:$DZU$1000000,849,FALSE)</f>
        <v>#N/A</v>
      </c>
      <c r="P50" t="e">
        <f>VLOOKUP(A1,InvoicesData!$A$1:$DZU$1000000,850,FALSE)</f>
        <v>#N/A</v>
      </c>
      <c r="Q50" t="e">
        <f>VLOOKUP(A1,InvoicesData!$A$1:$DZU$1000000,851,FALSE)</f>
        <v>#N/A</v>
      </c>
    </row>
    <row r="51" spans="1:17">
      <c r="A51" t="e">
        <f>VLOOKUP(A1,InvoicesData!$A$1:$DZU$1000000,852,FALSE)</f>
        <v>#N/A</v>
      </c>
      <c r="B51" t="e">
        <f>VLOOKUP(A1,InvoicesData!$A$1:$DZU$1000000,853,FALSE)</f>
        <v>#N/A</v>
      </c>
      <c r="C51" t="e">
        <f>VLOOKUP(A1,InvoicesData!$A$1:$DZU$1000000,854,FALSE)</f>
        <v>#N/A</v>
      </c>
      <c r="D51" t="e">
        <f>VLOOKUP(A1,InvoicesData!$A$1:$DZU$1000000,855,FALSE)</f>
        <v>#N/A</v>
      </c>
      <c r="E51" t="e">
        <f>VLOOKUP(A1,InvoicesData!$A$1:$DZU$1000000,856,FALSE)</f>
        <v>#N/A</v>
      </c>
      <c r="F51" t="e">
        <f>VLOOKUP(A1,InvoicesData!$A$1:$DZU$1000000,857,FALSE)</f>
        <v>#N/A</v>
      </c>
      <c r="G51" t="e">
        <f>VLOOKUP(A1,InvoicesData!$A$1:$DZU$1000000,858,FALSE)</f>
        <v>#N/A</v>
      </c>
      <c r="H51" t="e">
        <f>VLOOKUP(A1,InvoicesData!$A$1:$DZU$1000000,859,FALSE)</f>
        <v>#N/A</v>
      </c>
      <c r="I51" t="e">
        <f>VLOOKUP(A1,InvoicesData!$A$1:$DZU$1000000,860,FALSE)</f>
        <v>#N/A</v>
      </c>
      <c r="J51" t="e">
        <f>VLOOKUP(A1,InvoicesData!$A$1:$DZU$1000000,861,FALSE)</f>
        <v>#N/A</v>
      </c>
      <c r="K51" t="e">
        <f>VLOOKUP(A1,InvoicesData!$A$1:$DZU$1000000,862,FALSE)</f>
        <v>#N/A</v>
      </c>
      <c r="L51" t="e">
        <f>VLOOKUP(A1,InvoicesData!$A$1:$DZU$1000000,863,FALSE)</f>
        <v>#N/A</v>
      </c>
      <c r="M51" t="e">
        <f>VLOOKUP(A1,InvoicesData!$A$1:$DZU$1000000,864,FALSE)</f>
        <v>#N/A</v>
      </c>
      <c r="N51" t="e">
        <f>VLOOKUP(A1,InvoicesData!$A$1:$DZU$1000000,865,FALSE)</f>
        <v>#N/A</v>
      </c>
      <c r="O51" t="e">
        <f>VLOOKUP(A1,InvoicesData!$A$1:$DZU$1000000,866,FALSE)</f>
        <v>#N/A</v>
      </c>
      <c r="P51" t="e">
        <f>VLOOKUP(A1,InvoicesData!$A$1:$DZU$1000000,867,FALSE)</f>
        <v>#N/A</v>
      </c>
      <c r="Q51" t="e">
        <f>VLOOKUP(A1,InvoicesData!$A$1:$DZU$1000000,868,FALSE)</f>
        <v>#N/A</v>
      </c>
    </row>
    <row r="52" spans="1:17">
      <c r="A52" t="e">
        <f>VLOOKUP(A1,InvoicesData!$A$1:$DZU$1000000,869,FALSE)</f>
        <v>#N/A</v>
      </c>
      <c r="B52" t="e">
        <f>VLOOKUP(A1,InvoicesData!$A$1:$DZU$1000000,870,FALSE)</f>
        <v>#N/A</v>
      </c>
      <c r="C52" t="e">
        <f>VLOOKUP(A1,InvoicesData!$A$1:$DZU$1000000,871,FALSE)</f>
        <v>#N/A</v>
      </c>
      <c r="D52" t="e">
        <f>VLOOKUP(A1,InvoicesData!$A$1:$DZU$1000000,872,FALSE)</f>
        <v>#N/A</v>
      </c>
      <c r="E52" t="e">
        <f>VLOOKUP(A1,InvoicesData!$A$1:$DZU$1000000,873,FALSE)</f>
        <v>#N/A</v>
      </c>
      <c r="F52" t="e">
        <f>VLOOKUP(A1,InvoicesData!$A$1:$DZU$1000000,874,FALSE)</f>
        <v>#N/A</v>
      </c>
      <c r="G52" t="e">
        <f>VLOOKUP(A1,InvoicesData!$A$1:$DZU$1000000,875,FALSE)</f>
        <v>#N/A</v>
      </c>
      <c r="H52" t="e">
        <f>VLOOKUP(A1,InvoicesData!$A$1:$DZU$1000000,876,FALSE)</f>
        <v>#N/A</v>
      </c>
      <c r="I52" t="e">
        <f>VLOOKUP(A1,InvoicesData!$A$1:$DZU$1000000,877,FALSE)</f>
        <v>#N/A</v>
      </c>
      <c r="J52" t="e">
        <f>VLOOKUP(A1,InvoicesData!$A$1:$DZU$1000000,878,FALSE)</f>
        <v>#N/A</v>
      </c>
      <c r="K52" t="e">
        <f>VLOOKUP(A1,InvoicesData!$A$1:$DZU$1000000,879,FALSE)</f>
        <v>#N/A</v>
      </c>
      <c r="L52" t="e">
        <f>VLOOKUP(A1,InvoicesData!$A$1:$DZU$1000000,880,FALSE)</f>
        <v>#N/A</v>
      </c>
      <c r="M52" t="e">
        <f>VLOOKUP(A1,InvoicesData!$A$1:$DZU$1000000,881,FALSE)</f>
        <v>#N/A</v>
      </c>
      <c r="N52" t="e">
        <f>VLOOKUP(A1,InvoicesData!$A$1:$DZU$1000000,882,FALSE)</f>
        <v>#N/A</v>
      </c>
      <c r="O52" t="e">
        <f>VLOOKUP(A1,InvoicesData!$A$1:$DZU$1000000,883,FALSE)</f>
        <v>#N/A</v>
      </c>
      <c r="P52" t="e">
        <f>VLOOKUP(A1,InvoicesData!$A$1:$DZU$1000000,884,FALSE)</f>
        <v>#N/A</v>
      </c>
      <c r="Q52" t="e">
        <f>VLOOKUP(A1,InvoicesData!$A$1:$DZU$1000000,885,FALSE)</f>
        <v>#N/A</v>
      </c>
    </row>
    <row r="53" spans="1:17">
      <c r="A53" t="e">
        <f>VLOOKUP(A1,InvoicesData!$A$1:$DZU$1000000,886,FALSE)</f>
        <v>#N/A</v>
      </c>
      <c r="B53" t="e">
        <f>VLOOKUP(A1,InvoicesData!$A$1:$DZU$1000000,887,FALSE)</f>
        <v>#N/A</v>
      </c>
      <c r="C53" t="e">
        <f>VLOOKUP(A1,InvoicesData!$A$1:$DZU$1000000,888,FALSE)</f>
        <v>#N/A</v>
      </c>
      <c r="D53" t="e">
        <f>VLOOKUP(A1,InvoicesData!$A$1:$DZU$1000000,889,FALSE)</f>
        <v>#N/A</v>
      </c>
      <c r="E53" t="e">
        <f>VLOOKUP(A1,InvoicesData!$A$1:$DZU$1000000,890,FALSE)</f>
        <v>#N/A</v>
      </c>
      <c r="F53" t="e">
        <f>VLOOKUP(A1,InvoicesData!$A$1:$DZU$1000000,891,FALSE)</f>
        <v>#N/A</v>
      </c>
      <c r="G53" t="e">
        <f>VLOOKUP(A1,InvoicesData!$A$1:$DZU$1000000,892,FALSE)</f>
        <v>#N/A</v>
      </c>
      <c r="H53" t="e">
        <f>VLOOKUP(A1,InvoicesData!$A$1:$DZU$1000000,893,FALSE)</f>
        <v>#N/A</v>
      </c>
      <c r="I53" t="e">
        <f>VLOOKUP(A1,InvoicesData!$A$1:$DZU$1000000,894,FALSE)</f>
        <v>#N/A</v>
      </c>
      <c r="J53" t="e">
        <f>VLOOKUP(A1,InvoicesData!$A$1:$DZU$1000000,895,FALSE)</f>
        <v>#N/A</v>
      </c>
      <c r="K53" t="e">
        <f>VLOOKUP(A1,InvoicesData!$A$1:$DZU$1000000,896,FALSE)</f>
        <v>#N/A</v>
      </c>
      <c r="L53" t="e">
        <f>VLOOKUP(A1,InvoicesData!$A$1:$DZU$1000000,897,FALSE)</f>
        <v>#N/A</v>
      </c>
      <c r="M53" t="e">
        <f>VLOOKUP(A1,InvoicesData!$A$1:$DZU$1000000,898,FALSE)</f>
        <v>#N/A</v>
      </c>
      <c r="N53" t="e">
        <f>VLOOKUP(A1,InvoicesData!$A$1:$DZU$1000000,899,FALSE)</f>
        <v>#N/A</v>
      </c>
      <c r="O53" t="e">
        <f>VLOOKUP(A1,InvoicesData!$A$1:$DZU$1000000,900,FALSE)</f>
        <v>#N/A</v>
      </c>
      <c r="P53" t="e">
        <f>VLOOKUP(A1,InvoicesData!$A$1:$DZU$1000000,901,FALSE)</f>
        <v>#N/A</v>
      </c>
      <c r="Q53" t="e">
        <f>VLOOKUP(A1,InvoicesData!$A$1:$DZU$1000000,902,FALSE)</f>
        <v>#N/A</v>
      </c>
    </row>
    <row r="54" spans="1:17">
      <c r="A54" t="e">
        <f>VLOOKUP(A1,InvoicesData!$A$1:$DZU$1000000,903,FALSE)</f>
        <v>#N/A</v>
      </c>
      <c r="B54" t="e">
        <f>VLOOKUP(A1,InvoicesData!$A$1:$DZU$1000000,904,FALSE)</f>
        <v>#N/A</v>
      </c>
      <c r="C54" t="e">
        <f>VLOOKUP(A1,InvoicesData!$A$1:$DZU$1000000,905,FALSE)</f>
        <v>#N/A</v>
      </c>
      <c r="D54" t="e">
        <f>VLOOKUP(A1,InvoicesData!$A$1:$DZU$1000000,906,FALSE)</f>
        <v>#N/A</v>
      </c>
      <c r="E54" t="e">
        <f>VLOOKUP(A1,InvoicesData!$A$1:$DZU$1000000,907,FALSE)</f>
        <v>#N/A</v>
      </c>
      <c r="F54" t="e">
        <f>VLOOKUP(A1,InvoicesData!$A$1:$DZU$1000000,908,FALSE)</f>
        <v>#N/A</v>
      </c>
      <c r="G54" t="e">
        <f>VLOOKUP(A1,InvoicesData!$A$1:$DZU$1000000,909,FALSE)</f>
        <v>#N/A</v>
      </c>
      <c r="H54" t="e">
        <f>VLOOKUP(A1,InvoicesData!$A$1:$DZU$1000000,910,FALSE)</f>
        <v>#N/A</v>
      </c>
      <c r="I54" t="e">
        <f>VLOOKUP(A1,InvoicesData!$A$1:$DZU$1000000,911,FALSE)</f>
        <v>#N/A</v>
      </c>
      <c r="J54" t="e">
        <f>VLOOKUP(A1,InvoicesData!$A$1:$DZU$1000000,912,FALSE)</f>
        <v>#N/A</v>
      </c>
      <c r="K54" t="e">
        <f>VLOOKUP(A1,InvoicesData!$A$1:$DZU$1000000,913,FALSE)</f>
        <v>#N/A</v>
      </c>
      <c r="L54" t="e">
        <f>VLOOKUP(A1,InvoicesData!$A$1:$DZU$1000000,914,FALSE)</f>
        <v>#N/A</v>
      </c>
      <c r="M54" t="e">
        <f>VLOOKUP(A1,InvoicesData!$A$1:$DZU$1000000,915,FALSE)</f>
        <v>#N/A</v>
      </c>
      <c r="N54" t="e">
        <f>VLOOKUP(A1,InvoicesData!$A$1:$DZU$1000000,916,FALSE)</f>
        <v>#N/A</v>
      </c>
      <c r="O54" t="e">
        <f>VLOOKUP(A1,InvoicesData!$A$1:$DZU$1000000,917,FALSE)</f>
        <v>#N/A</v>
      </c>
      <c r="P54" t="e">
        <f>VLOOKUP(A1,InvoicesData!$A$1:$DZU$1000000,918,FALSE)</f>
        <v>#N/A</v>
      </c>
      <c r="Q54" t="e">
        <f>VLOOKUP(A1,InvoicesData!$A$1:$DZU$1000000,919,FALSE)</f>
        <v>#N/A</v>
      </c>
    </row>
    <row r="55" spans="1:17">
      <c r="A55" t="e">
        <f>VLOOKUP(A1,InvoicesData!$A$1:$DZU$1000000,920,FALSE)</f>
        <v>#N/A</v>
      </c>
      <c r="B55" t="e">
        <f>VLOOKUP(A1,InvoicesData!$A$1:$DZU$1000000,921,FALSE)</f>
        <v>#N/A</v>
      </c>
      <c r="C55" t="e">
        <f>VLOOKUP(A1,InvoicesData!$A$1:$DZU$1000000,922,FALSE)</f>
        <v>#N/A</v>
      </c>
      <c r="D55" t="e">
        <f>VLOOKUP(A1,InvoicesData!$A$1:$DZU$1000000,923,FALSE)</f>
        <v>#N/A</v>
      </c>
      <c r="E55" t="e">
        <f>VLOOKUP(A1,InvoicesData!$A$1:$DZU$1000000,924,FALSE)</f>
        <v>#N/A</v>
      </c>
      <c r="F55" t="e">
        <f>VLOOKUP(A1,InvoicesData!$A$1:$DZU$1000000,925,FALSE)</f>
        <v>#N/A</v>
      </c>
      <c r="G55" t="e">
        <f>VLOOKUP(A1,InvoicesData!$A$1:$DZU$1000000,926,FALSE)</f>
        <v>#N/A</v>
      </c>
      <c r="H55" t="e">
        <f>VLOOKUP(A1,InvoicesData!$A$1:$DZU$1000000,927,FALSE)</f>
        <v>#N/A</v>
      </c>
      <c r="I55" t="e">
        <f>VLOOKUP(A1,InvoicesData!$A$1:$DZU$1000000,928,FALSE)</f>
        <v>#N/A</v>
      </c>
      <c r="J55" t="e">
        <f>VLOOKUP(A1,InvoicesData!$A$1:$DZU$1000000,929,FALSE)</f>
        <v>#N/A</v>
      </c>
      <c r="K55" t="e">
        <f>VLOOKUP(A1,InvoicesData!$A$1:$DZU$1000000,930,FALSE)</f>
        <v>#N/A</v>
      </c>
      <c r="L55" t="e">
        <f>VLOOKUP(A1,InvoicesData!$A$1:$DZU$1000000,931,FALSE)</f>
        <v>#N/A</v>
      </c>
      <c r="M55" t="e">
        <f>VLOOKUP(A1,InvoicesData!$A$1:$DZU$1000000,932,FALSE)</f>
        <v>#N/A</v>
      </c>
      <c r="N55" t="e">
        <f>VLOOKUP(A1,InvoicesData!$A$1:$DZU$1000000,933,FALSE)</f>
        <v>#N/A</v>
      </c>
      <c r="O55" t="e">
        <f>VLOOKUP(A1,InvoicesData!$A$1:$DZU$1000000,934,FALSE)</f>
        <v>#N/A</v>
      </c>
      <c r="P55" t="e">
        <f>VLOOKUP(A1,InvoicesData!$A$1:$DZU$1000000,935,FALSE)</f>
        <v>#N/A</v>
      </c>
      <c r="Q55" t="e">
        <f>VLOOKUP(A1,InvoicesData!$A$1:$DZU$1000000,936,FALSE)</f>
        <v>#N/A</v>
      </c>
    </row>
    <row r="56" spans="1:17">
      <c r="A56" t="e">
        <f>VLOOKUP(A1,InvoicesData!$A$1:$DZU$1000000,937,FALSE)</f>
        <v>#N/A</v>
      </c>
      <c r="B56" t="e">
        <f>VLOOKUP(A1,InvoicesData!$A$1:$DZU$1000000,938,FALSE)</f>
        <v>#N/A</v>
      </c>
      <c r="C56" t="e">
        <f>VLOOKUP(A1,InvoicesData!$A$1:$DZU$1000000,939,FALSE)</f>
        <v>#N/A</v>
      </c>
      <c r="D56" t="e">
        <f>VLOOKUP(A1,InvoicesData!$A$1:$DZU$1000000,940,FALSE)</f>
        <v>#N/A</v>
      </c>
      <c r="E56" t="e">
        <f>VLOOKUP(A1,InvoicesData!$A$1:$DZU$1000000,941,FALSE)</f>
        <v>#N/A</v>
      </c>
      <c r="F56" t="e">
        <f>VLOOKUP(A1,InvoicesData!$A$1:$DZU$1000000,942,FALSE)</f>
        <v>#N/A</v>
      </c>
      <c r="G56" t="e">
        <f>VLOOKUP(A1,InvoicesData!$A$1:$DZU$1000000,943,FALSE)</f>
        <v>#N/A</v>
      </c>
      <c r="H56" t="e">
        <f>VLOOKUP(A1,InvoicesData!$A$1:$DZU$1000000,944,FALSE)</f>
        <v>#N/A</v>
      </c>
      <c r="I56" t="e">
        <f>VLOOKUP(A1,InvoicesData!$A$1:$DZU$1000000,945,FALSE)</f>
        <v>#N/A</v>
      </c>
      <c r="J56" t="e">
        <f>VLOOKUP(A1,InvoicesData!$A$1:$DZU$1000000,946,FALSE)</f>
        <v>#N/A</v>
      </c>
      <c r="K56" t="e">
        <f>VLOOKUP(A1,InvoicesData!$A$1:$DZU$1000000,947,FALSE)</f>
        <v>#N/A</v>
      </c>
      <c r="L56" t="e">
        <f>VLOOKUP(A1,InvoicesData!$A$1:$DZU$1000000,948,FALSE)</f>
        <v>#N/A</v>
      </c>
      <c r="M56" t="e">
        <f>VLOOKUP(A1,InvoicesData!$A$1:$DZU$1000000,949,FALSE)</f>
        <v>#N/A</v>
      </c>
      <c r="N56" t="e">
        <f>VLOOKUP(A1,InvoicesData!$A$1:$DZU$1000000,950,FALSE)</f>
        <v>#N/A</v>
      </c>
      <c r="O56" t="e">
        <f>VLOOKUP(A1,InvoicesData!$A$1:$DZU$1000000,951,FALSE)</f>
        <v>#N/A</v>
      </c>
      <c r="P56" t="e">
        <f>VLOOKUP(A1,InvoicesData!$A$1:$DZU$1000000,952,FALSE)</f>
        <v>#N/A</v>
      </c>
      <c r="Q56" t="e">
        <f>VLOOKUP(A1,InvoicesData!$A$1:$DZU$1000000,953,FALSE)</f>
        <v>#N/A</v>
      </c>
    </row>
    <row r="57" spans="1:17">
      <c r="A57" t="e">
        <f>VLOOKUP(A1,InvoicesData!$A$1:$DZU$1000000,954,FALSE)</f>
        <v>#N/A</v>
      </c>
      <c r="B57" t="e">
        <f>VLOOKUP(A1,InvoicesData!$A$1:$DZU$1000000,955,FALSE)</f>
        <v>#N/A</v>
      </c>
      <c r="C57" t="e">
        <f>VLOOKUP(A1,InvoicesData!$A$1:$DZU$1000000,956,FALSE)</f>
        <v>#N/A</v>
      </c>
      <c r="D57" t="e">
        <f>VLOOKUP(A1,InvoicesData!$A$1:$DZU$1000000,957,FALSE)</f>
        <v>#N/A</v>
      </c>
      <c r="E57" t="e">
        <f>VLOOKUP(A1,InvoicesData!$A$1:$DZU$1000000,958,FALSE)</f>
        <v>#N/A</v>
      </c>
      <c r="F57" t="e">
        <f>VLOOKUP(A1,InvoicesData!$A$1:$DZU$1000000,959,FALSE)</f>
        <v>#N/A</v>
      </c>
      <c r="G57" t="e">
        <f>VLOOKUP(A1,InvoicesData!$A$1:$DZU$1000000,960,FALSE)</f>
        <v>#N/A</v>
      </c>
      <c r="H57" t="e">
        <f>VLOOKUP(A1,InvoicesData!$A$1:$DZU$1000000,961,FALSE)</f>
        <v>#N/A</v>
      </c>
      <c r="I57" t="e">
        <f>VLOOKUP(A1,InvoicesData!$A$1:$DZU$1000000,962,FALSE)</f>
        <v>#N/A</v>
      </c>
      <c r="J57" t="e">
        <f>VLOOKUP(A1,InvoicesData!$A$1:$DZU$1000000,963,FALSE)</f>
        <v>#N/A</v>
      </c>
      <c r="K57" t="e">
        <f>VLOOKUP(A1,InvoicesData!$A$1:$DZU$1000000,964,FALSE)</f>
        <v>#N/A</v>
      </c>
      <c r="L57" t="e">
        <f>VLOOKUP(A1,InvoicesData!$A$1:$DZU$1000000,965,FALSE)</f>
        <v>#N/A</v>
      </c>
      <c r="M57" t="e">
        <f>VLOOKUP(A1,InvoicesData!$A$1:$DZU$1000000,966,FALSE)</f>
        <v>#N/A</v>
      </c>
      <c r="N57" t="e">
        <f>VLOOKUP(A1,InvoicesData!$A$1:$DZU$1000000,967,FALSE)</f>
        <v>#N/A</v>
      </c>
      <c r="O57" t="e">
        <f>VLOOKUP(A1,InvoicesData!$A$1:$DZU$1000000,968,FALSE)</f>
        <v>#N/A</v>
      </c>
      <c r="P57" t="e">
        <f>VLOOKUP(A1,InvoicesData!$A$1:$DZU$1000000,969,FALSE)</f>
        <v>#N/A</v>
      </c>
      <c r="Q57" t="e">
        <f>VLOOKUP(A1,InvoicesData!$A$1:$DZU$1000000,970,FALSE)</f>
        <v>#N/A</v>
      </c>
    </row>
    <row r="58" spans="1:17">
      <c r="A58" t="e">
        <f>VLOOKUP(A1,InvoicesData!$A$1:$DZU$1000000,971,FALSE)</f>
        <v>#N/A</v>
      </c>
      <c r="B58" t="e">
        <f>VLOOKUP(A1,InvoicesData!$A$1:$DZU$1000000,972,FALSE)</f>
        <v>#N/A</v>
      </c>
      <c r="C58" t="e">
        <f>VLOOKUP(A1,InvoicesData!$A$1:$DZU$1000000,973,FALSE)</f>
        <v>#N/A</v>
      </c>
      <c r="D58" t="e">
        <f>VLOOKUP(A1,InvoicesData!$A$1:$DZU$1000000,974,FALSE)</f>
        <v>#N/A</v>
      </c>
      <c r="E58" t="e">
        <f>VLOOKUP(A1,InvoicesData!$A$1:$DZU$1000000,975,FALSE)</f>
        <v>#N/A</v>
      </c>
      <c r="F58" t="e">
        <f>VLOOKUP(A1,InvoicesData!$A$1:$DZU$1000000,976,FALSE)</f>
        <v>#N/A</v>
      </c>
      <c r="G58" t="e">
        <f>VLOOKUP(A1,InvoicesData!$A$1:$DZU$1000000,977,FALSE)</f>
        <v>#N/A</v>
      </c>
      <c r="H58" t="e">
        <f>VLOOKUP(A1,InvoicesData!$A$1:$DZU$1000000,978,FALSE)</f>
        <v>#N/A</v>
      </c>
      <c r="I58" t="e">
        <f>VLOOKUP(A1,InvoicesData!$A$1:$DZU$1000000,979,FALSE)</f>
        <v>#N/A</v>
      </c>
      <c r="J58" t="e">
        <f>VLOOKUP(A1,InvoicesData!$A$1:$DZU$1000000,980,FALSE)</f>
        <v>#N/A</v>
      </c>
      <c r="K58" t="e">
        <f>VLOOKUP(A1,InvoicesData!$A$1:$DZU$1000000,981,FALSE)</f>
        <v>#N/A</v>
      </c>
      <c r="L58" t="e">
        <f>VLOOKUP(A1,InvoicesData!$A$1:$DZU$1000000,982,FALSE)</f>
        <v>#N/A</v>
      </c>
      <c r="M58" t="e">
        <f>VLOOKUP(A1,InvoicesData!$A$1:$DZU$1000000,983,FALSE)</f>
        <v>#N/A</v>
      </c>
      <c r="N58" t="e">
        <f>VLOOKUP(A1,InvoicesData!$A$1:$DZU$1000000,984,FALSE)</f>
        <v>#N/A</v>
      </c>
      <c r="O58" t="e">
        <f>VLOOKUP(A1,InvoicesData!$A$1:$DZU$1000000,985,FALSE)</f>
        <v>#N/A</v>
      </c>
      <c r="P58" t="e">
        <f>VLOOKUP(A1,InvoicesData!$A$1:$DZU$1000000,986,FALSE)</f>
        <v>#N/A</v>
      </c>
      <c r="Q58" t="e">
        <f>VLOOKUP(A1,InvoicesData!$A$1:$DZU$1000000,987,FALSE)</f>
        <v>#N/A</v>
      </c>
    </row>
    <row r="59" spans="1:17">
      <c r="A59" t="e">
        <f>VLOOKUP(A1,InvoicesData!$A$1:$DZU$1000000,988,FALSE)</f>
        <v>#N/A</v>
      </c>
      <c r="B59" t="e">
        <f>VLOOKUP(A1,InvoicesData!$A$1:$DZU$1000000,989,FALSE)</f>
        <v>#N/A</v>
      </c>
      <c r="C59" t="e">
        <f>VLOOKUP(A1,InvoicesData!$A$1:$DZU$1000000,990,FALSE)</f>
        <v>#N/A</v>
      </c>
      <c r="D59" t="e">
        <f>VLOOKUP(A1,InvoicesData!$A$1:$DZU$1000000,991,FALSE)</f>
        <v>#N/A</v>
      </c>
      <c r="E59" t="e">
        <f>VLOOKUP(A1,InvoicesData!$A$1:$DZU$1000000,992,FALSE)</f>
        <v>#N/A</v>
      </c>
      <c r="F59" t="e">
        <f>VLOOKUP(A1,InvoicesData!$A$1:$DZU$1000000,993,FALSE)</f>
        <v>#N/A</v>
      </c>
      <c r="G59" t="e">
        <f>VLOOKUP(A1,InvoicesData!$A$1:$DZU$1000000,994,FALSE)</f>
        <v>#N/A</v>
      </c>
      <c r="H59" t="e">
        <f>VLOOKUP(A1,InvoicesData!$A$1:$DZU$1000000,995,FALSE)</f>
        <v>#N/A</v>
      </c>
      <c r="I59" t="e">
        <f>VLOOKUP(A1,InvoicesData!$A$1:$DZU$1000000,996,FALSE)</f>
        <v>#N/A</v>
      </c>
      <c r="J59" t="e">
        <f>VLOOKUP(A1,InvoicesData!$A$1:$DZU$1000000,997,FALSE)</f>
        <v>#N/A</v>
      </c>
      <c r="K59" t="e">
        <f>VLOOKUP(A1,InvoicesData!$A$1:$DZU$1000000,998,FALSE)</f>
        <v>#N/A</v>
      </c>
      <c r="L59" t="e">
        <f>VLOOKUP(A1,InvoicesData!$A$1:$DZU$1000000,999,FALSE)</f>
        <v>#N/A</v>
      </c>
      <c r="M59" t="e">
        <f>VLOOKUP(A1,InvoicesData!$A$1:$DZU$1000000,1000,FALSE)</f>
        <v>#N/A</v>
      </c>
      <c r="N59" t="e">
        <f>VLOOKUP(A1,InvoicesData!$A$1:$DZU$1000000,1001,FALSE)</f>
        <v>#N/A</v>
      </c>
      <c r="O59" t="e">
        <f>VLOOKUP(A1,InvoicesData!$A$1:$DZU$1000000,1002,FALSE)</f>
        <v>#N/A</v>
      </c>
      <c r="P59" t="e">
        <f>VLOOKUP(A1,InvoicesData!$A$1:$DZU$1000000,1003,FALSE)</f>
        <v>#N/A</v>
      </c>
      <c r="Q59" t="e">
        <f>VLOOKUP(A1,InvoicesData!$A$1:$DZU$1000000,1004,FALSE)</f>
        <v>#N/A</v>
      </c>
    </row>
    <row r="60" spans="1:17">
      <c r="A60" t="e">
        <f>VLOOKUP(A1,InvoicesData!$A$1:$DZU$1000000,1005,FALSE)</f>
        <v>#N/A</v>
      </c>
      <c r="B60" t="e">
        <f>VLOOKUP(A1,InvoicesData!$A$1:$DZU$1000000,1006,FALSE)</f>
        <v>#N/A</v>
      </c>
      <c r="C60" t="e">
        <f>VLOOKUP(A1,InvoicesData!$A$1:$DZU$1000000,1007,FALSE)</f>
        <v>#N/A</v>
      </c>
      <c r="D60" t="e">
        <f>VLOOKUP(A1,InvoicesData!$A$1:$DZU$1000000,1008,FALSE)</f>
        <v>#N/A</v>
      </c>
      <c r="E60" t="e">
        <f>VLOOKUP(A1,InvoicesData!$A$1:$DZU$1000000,1009,FALSE)</f>
        <v>#N/A</v>
      </c>
      <c r="F60" t="e">
        <f>VLOOKUP(A1,InvoicesData!$A$1:$DZU$1000000,1010,FALSE)</f>
        <v>#N/A</v>
      </c>
      <c r="G60" t="e">
        <f>VLOOKUP(A1,InvoicesData!$A$1:$DZU$1000000,1011,FALSE)</f>
        <v>#N/A</v>
      </c>
      <c r="H60" t="e">
        <f>VLOOKUP(A1,InvoicesData!$A$1:$DZU$1000000,1012,FALSE)</f>
        <v>#N/A</v>
      </c>
      <c r="I60" t="e">
        <f>VLOOKUP(A1,InvoicesData!$A$1:$DZU$1000000,1013,FALSE)</f>
        <v>#N/A</v>
      </c>
      <c r="J60" t="e">
        <f>VLOOKUP(A1,InvoicesData!$A$1:$DZU$1000000,1014,FALSE)</f>
        <v>#N/A</v>
      </c>
      <c r="K60" t="e">
        <f>VLOOKUP(A1,InvoicesData!$A$1:$DZU$1000000,1015,FALSE)</f>
        <v>#N/A</v>
      </c>
      <c r="L60" t="e">
        <f>VLOOKUP(A1,InvoicesData!$A$1:$DZU$1000000,1016,FALSE)</f>
        <v>#N/A</v>
      </c>
      <c r="M60" t="e">
        <f>VLOOKUP(A1,InvoicesData!$A$1:$DZU$1000000,1017,FALSE)</f>
        <v>#N/A</v>
      </c>
      <c r="N60" t="e">
        <f>VLOOKUP(A1,InvoicesData!$A$1:$DZU$1000000,1018,FALSE)</f>
        <v>#N/A</v>
      </c>
      <c r="O60" t="e">
        <f>VLOOKUP(A1,InvoicesData!$A$1:$DZU$1000000,1019,FALSE)</f>
        <v>#N/A</v>
      </c>
      <c r="P60" t="e">
        <f>VLOOKUP(A1,InvoicesData!$A$1:$DZU$1000000,1020,FALSE)</f>
        <v>#N/A</v>
      </c>
      <c r="Q60" t="e">
        <f>VLOOKUP(A1,InvoicesData!$A$1:$DZU$1000000,1021,FALSE)</f>
        <v>#N/A</v>
      </c>
    </row>
    <row r="61" spans="1:17">
      <c r="A61" t="e">
        <f>VLOOKUP(A1,InvoicesData!$A$1:$DZU$1000000,1022,FALSE)</f>
        <v>#N/A</v>
      </c>
      <c r="B61" t="e">
        <f>VLOOKUP(A1,InvoicesData!$A$1:$DZU$1000000,1023,FALSE)</f>
        <v>#N/A</v>
      </c>
      <c r="C61" t="e">
        <f>VLOOKUP(A1,InvoicesData!$A$1:$DZU$1000000,1024,FALSE)</f>
        <v>#N/A</v>
      </c>
      <c r="D61" t="e">
        <f>VLOOKUP(A1,InvoicesData!$A$1:$DZU$1000000,1025,FALSE)</f>
        <v>#N/A</v>
      </c>
      <c r="E61" t="e">
        <f>VLOOKUP(A1,InvoicesData!$A$1:$DZU$1000000,1026,FALSE)</f>
        <v>#N/A</v>
      </c>
      <c r="F61" t="e">
        <f>VLOOKUP(A1,InvoicesData!$A$1:$DZU$1000000,1027,FALSE)</f>
        <v>#N/A</v>
      </c>
      <c r="G61" t="e">
        <f>VLOOKUP(A1,InvoicesData!$A$1:$DZU$1000000,1028,FALSE)</f>
        <v>#N/A</v>
      </c>
      <c r="H61" t="e">
        <f>VLOOKUP(A1,InvoicesData!$A$1:$DZU$1000000,1029,FALSE)</f>
        <v>#N/A</v>
      </c>
      <c r="I61" t="e">
        <f>VLOOKUP(A1,InvoicesData!$A$1:$DZU$1000000,1030,FALSE)</f>
        <v>#N/A</v>
      </c>
      <c r="J61" t="e">
        <f>VLOOKUP(A1,InvoicesData!$A$1:$DZU$1000000,1031,FALSE)</f>
        <v>#N/A</v>
      </c>
      <c r="K61" t="e">
        <f>VLOOKUP(A1,InvoicesData!$A$1:$DZU$1000000,1032,FALSE)</f>
        <v>#N/A</v>
      </c>
      <c r="L61" t="e">
        <f>VLOOKUP(A1,InvoicesData!$A$1:$DZU$1000000,1033,FALSE)</f>
        <v>#N/A</v>
      </c>
      <c r="M61" t="e">
        <f>VLOOKUP(A1,InvoicesData!$A$1:$DZU$1000000,1034,FALSE)</f>
        <v>#N/A</v>
      </c>
      <c r="N61" t="e">
        <f>VLOOKUP(A1,InvoicesData!$A$1:$DZU$1000000,1035,FALSE)</f>
        <v>#N/A</v>
      </c>
      <c r="O61" t="e">
        <f>VLOOKUP(A1,InvoicesData!$A$1:$DZU$1000000,1036,FALSE)</f>
        <v>#N/A</v>
      </c>
      <c r="P61" t="e">
        <f>VLOOKUP(A1,InvoicesData!$A$1:$DZU$1000000,1037,FALSE)</f>
        <v>#N/A</v>
      </c>
      <c r="Q61" t="e">
        <f>VLOOKUP(A1,InvoicesData!$A$1:$DZU$1000000,1038,FALSE)</f>
        <v>#N/A</v>
      </c>
    </row>
    <row r="62" spans="1:17">
      <c r="A62" t="e">
        <f>VLOOKUP(A1,InvoicesData!$A$1:$DZU$1000000,1039,FALSE)</f>
        <v>#N/A</v>
      </c>
      <c r="B62" t="e">
        <f>VLOOKUP(A1,InvoicesData!$A$1:$DZU$1000000,1040,FALSE)</f>
        <v>#N/A</v>
      </c>
      <c r="C62" t="e">
        <f>VLOOKUP(A1,InvoicesData!$A$1:$DZU$1000000,1041,FALSE)</f>
        <v>#N/A</v>
      </c>
      <c r="D62" t="e">
        <f>VLOOKUP(A1,InvoicesData!$A$1:$DZU$1000000,1042,FALSE)</f>
        <v>#N/A</v>
      </c>
      <c r="E62" t="e">
        <f>VLOOKUP(A1,InvoicesData!$A$1:$DZU$1000000,1043,FALSE)</f>
        <v>#N/A</v>
      </c>
      <c r="F62" t="e">
        <f>VLOOKUP(A1,InvoicesData!$A$1:$DZU$1000000,1044,FALSE)</f>
        <v>#N/A</v>
      </c>
      <c r="G62" t="e">
        <f>VLOOKUP(A1,InvoicesData!$A$1:$DZU$1000000,1045,FALSE)</f>
        <v>#N/A</v>
      </c>
      <c r="H62" t="e">
        <f>VLOOKUP(A1,InvoicesData!$A$1:$DZU$1000000,1046,FALSE)</f>
        <v>#N/A</v>
      </c>
      <c r="I62" t="e">
        <f>VLOOKUP(A1,InvoicesData!$A$1:$DZU$1000000,1047,FALSE)</f>
        <v>#N/A</v>
      </c>
      <c r="J62" t="e">
        <f>VLOOKUP(A1,InvoicesData!$A$1:$DZU$1000000,1048,FALSE)</f>
        <v>#N/A</v>
      </c>
      <c r="K62" t="e">
        <f>VLOOKUP(A1,InvoicesData!$A$1:$DZU$1000000,1049,FALSE)</f>
        <v>#N/A</v>
      </c>
      <c r="L62" t="e">
        <f>VLOOKUP(A1,InvoicesData!$A$1:$DZU$1000000,1050,FALSE)</f>
        <v>#N/A</v>
      </c>
      <c r="M62" t="e">
        <f>VLOOKUP(A1,InvoicesData!$A$1:$DZU$1000000,1051,FALSE)</f>
        <v>#N/A</v>
      </c>
      <c r="N62" t="e">
        <f>VLOOKUP(A1,InvoicesData!$A$1:$DZU$1000000,1052,FALSE)</f>
        <v>#N/A</v>
      </c>
      <c r="O62" t="e">
        <f>VLOOKUP(A1,InvoicesData!$A$1:$DZU$1000000,1053,FALSE)</f>
        <v>#N/A</v>
      </c>
      <c r="P62" t="e">
        <f>VLOOKUP(A1,InvoicesData!$A$1:$DZU$1000000,1054,FALSE)</f>
        <v>#N/A</v>
      </c>
      <c r="Q62" t="e">
        <f>VLOOKUP(A1,InvoicesData!$A$1:$DZU$1000000,1055,FALSE)</f>
        <v>#N/A</v>
      </c>
    </row>
    <row r="63" spans="1:17">
      <c r="A63" t="e">
        <f>VLOOKUP(A1,InvoicesData!$A$1:$DZU$1000000,1056,FALSE)</f>
        <v>#N/A</v>
      </c>
      <c r="B63" t="e">
        <f>VLOOKUP(A1,InvoicesData!$A$1:$DZU$1000000,1057,FALSE)</f>
        <v>#N/A</v>
      </c>
      <c r="C63" t="e">
        <f>VLOOKUP(A1,InvoicesData!$A$1:$DZU$1000000,1058,FALSE)</f>
        <v>#N/A</v>
      </c>
      <c r="D63" t="e">
        <f>VLOOKUP(A1,InvoicesData!$A$1:$DZU$1000000,1059,FALSE)</f>
        <v>#N/A</v>
      </c>
      <c r="E63" t="e">
        <f>VLOOKUP(A1,InvoicesData!$A$1:$DZU$1000000,1060,FALSE)</f>
        <v>#N/A</v>
      </c>
      <c r="F63" t="e">
        <f>VLOOKUP(A1,InvoicesData!$A$1:$DZU$1000000,1061,FALSE)</f>
        <v>#N/A</v>
      </c>
      <c r="G63" t="e">
        <f>VLOOKUP(A1,InvoicesData!$A$1:$DZU$1000000,1062,FALSE)</f>
        <v>#N/A</v>
      </c>
      <c r="H63" t="e">
        <f>VLOOKUP(A1,InvoicesData!$A$1:$DZU$1000000,1063,FALSE)</f>
        <v>#N/A</v>
      </c>
      <c r="I63" t="e">
        <f>VLOOKUP(A1,InvoicesData!$A$1:$DZU$1000000,1064,FALSE)</f>
        <v>#N/A</v>
      </c>
      <c r="J63" t="e">
        <f>VLOOKUP(A1,InvoicesData!$A$1:$DZU$1000000,1065,FALSE)</f>
        <v>#N/A</v>
      </c>
      <c r="K63" t="e">
        <f>VLOOKUP(A1,InvoicesData!$A$1:$DZU$1000000,1066,FALSE)</f>
        <v>#N/A</v>
      </c>
      <c r="L63" t="e">
        <f>VLOOKUP(A1,InvoicesData!$A$1:$DZU$1000000,1067,FALSE)</f>
        <v>#N/A</v>
      </c>
      <c r="M63" t="e">
        <f>VLOOKUP(A1,InvoicesData!$A$1:$DZU$1000000,1068,FALSE)</f>
        <v>#N/A</v>
      </c>
      <c r="N63" t="e">
        <f>VLOOKUP(A1,InvoicesData!$A$1:$DZU$1000000,1069,FALSE)</f>
        <v>#N/A</v>
      </c>
      <c r="O63" t="e">
        <f>VLOOKUP(A1,InvoicesData!$A$1:$DZU$1000000,1070,FALSE)</f>
        <v>#N/A</v>
      </c>
      <c r="P63" t="e">
        <f>VLOOKUP(A1,InvoicesData!$A$1:$DZU$1000000,1071,FALSE)</f>
        <v>#N/A</v>
      </c>
      <c r="Q63" t="e">
        <f>VLOOKUP(A1,InvoicesData!$A$1:$DZU$1000000,1072,FALSE)</f>
        <v>#N/A</v>
      </c>
    </row>
    <row r="64" spans="1:17">
      <c r="A64" t="e">
        <f>VLOOKUP(A1,InvoicesData!$A$1:$DZU$1000000,1073,FALSE)</f>
        <v>#N/A</v>
      </c>
      <c r="B64" t="e">
        <f>VLOOKUP(A1,InvoicesData!$A$1:$DZU$1000000,1074,FALSE)</f>
        <v>#N/A</v>
      </c>
      <c r="C64" t="e">
        <f>VLOOKUP(A1,InvoicesData!$A$1:$DZU$1000000,1075,FALSE)</f>
        <v>#N/A</v>
      </c>
      <c r="D64" t="e">
        <f>VLOOKUP(A1,InvoicesData!$A$1:$DZU$1000000,1076,FALSE)</f>
        <v>#N/A</v>
      </c>
      <c r="E64" t="e">
        <f>VLOOKUP(A1,InvoicesData!$A$1:$DZU$1000000,1077,FALSE)</f>
        <v>#N/A</v>
      </c>
      <c r="F64" t="e">
        <f>VLOOKUP(A1,InvoicesData!$A$1:$DZU$1000000,1078,FALSE)</f>
        <v>#N/A</v>
      </c>
      <c r="G64" t="e">
        <f>VLOOKUP(A1,InvoicesData!$A$1:$DZU$1000000,1079,FALSE)</f>
        <v>#N/A</v>
      </c>
      <c r="H64" t="e">
        <f>VLOOKUP(A1,InvoicesData!$A$1:$DZU$1000000,1080,FALSE)</f>
        <v>#N/A</v>
      </c>
      <c r="I64" t="e">
        <f>VLOOKUP(A1,InvoicesData!$A$1:$DZU$1000000,1081,FALSE)</f>
        <v>#N/A</v>
      </c>
      <c r="J64" t="e">
        <f>VLOOKUP(A1,InvoicesData!$A$1:$DZU$1000000,1082,FALSE)</f>
        <v>#N/A</v>
      </c>
      <c r="K64" t="e">
        <f>VLOOKUP(A1,InvoicesData!$A$1:$DZU$1000000,1083,FALSE)</f>
        <v>#N/A</v>
      </c>
      <c r="L64" t="e">
        <f>VLOOKUP(A1,InvoicesData!$A$1:$DZU$1000000,1084,FALSE)</f>
        <v>#N/A</v>
      </c>
      <c r="M64" t="e">
        <f>VLOOKUP(A1,InvoicesData!$A$1:$DZU$1000000,1085,FALSE)</f>
        <v>#N/A</v>
      </c>
      <c r="N64" t="e">
        <f>VLOOKUP(A1,InvoicesData!$A$1:$DZU$1000000,1086,FALSE)</f>
        <v>#N/A</v>
      </c>
      <c r="O64" t="e">
        <f>VLOOKUP(A1,InvoicesData!$A$1:$DZU$1000000,1087,FALSE)</f>
        <v>#N/A</v>
      </c>
      <c r="P64" t="e">
        <f>VLOOKUP(A1,InvoicesData!$A$1:$DZU$1000000,1088,FALSE)</f>
        <v>#N/A</v>
      </c>
      <c r="Q64" t="e">
        <f>VLOOKUP(A1,InvoicesData!$A$1:$DZU$1000000,1089,FALSE)</f>
        <v>#N/A</v>
      </c>
    </row>
    <row r="65" spans="1:17">
      <c r="A65" t="e">
        <f>VLOOKUP(A1,InvoicesData!$A$1:$DZU$1000000,1090,FALSE)</f>
        <v>#N/A</v>
      </c>
      <c r="B65" t="e">
        <f>VLOOKUP(A1,InvoicesData!$A$1:$DZU$1000000,1091,FALSE)</f>
        <v>#N/A</v>
      </c>
      <c r="C65" t="e">
        <f>VLOOKUP(A1,InvoicesData!$A$1:$DZU$1000000,1092,FALSE)</f>
        <v>#N/A</v>
      </c>
      <c r="D65" t="e">
        <f>VLOOKUP(A1,InvoicesData!$A$1:$DZU$1000000,1093,FALSE)</f>
        <v>#N/A</v>
      </c>
      <c r="E65" t="e">
        <f>VLOOKUP(A1,InvoicesData!$A$1:$DZU$1000000,1094,FALSE)</f>
        <v>#N/A</v>
      </c>
      <c r="F65" t="e">
        <f>VLOOKUP(A1,InvoicesData!$A$1:$DZU$1000000,1095,FALSE)</f>
        <v>#N/A</v>
      </c>
      <c r="G65" t="e">
        <f>VLOOKUP(A1,InvoicesData!$A$1:$DZU$1000000,1096,FALSE)</f>
        <v>#N/A</v>
      </c>
      <c r="H65" t="e">
        <f>VLOOKUP(A1,InvoicesData!$A$1:$DZU$1000000,1097,FALSE)</f>
        <v>#N/A</v>
      </c>
      <c r="I65" t="e">
        <f>VLOOKUP(A1,InvoicesData!$A$1:$DZU$1000000,1098,FALSE)</f>
        <v>#N/A</v>
      </c>
      <c r="J65" t="e">
        <f>VLOOKUP(A1,InvoicesData!$A$1:$DZU$1000000,1099,FALSE)</f>
        <v>#N/A</v>
      </c>
      <c r="K65" t="e">
        <f>VLOOKUP(A1,InvoicesData!$A$1:$DZU$1000000,1100,FALSE)</f>
        <v>#N/A</v>
      </c>
      <c r="L65" t="e">
        <f>VLOOKUP(A1,InvoicesData!$A$1:$DZU$1000000,1101,FALSE)</f>
        <v>#N/A</v>
      </c>
      <c r="M65" t="e">
        <f>VLOOKUP(A1,InvoicesData!$A$1:$DZU$1000000,1102,FALSE)</f>
        <v>#N/A</v>
      </c>
      <c r="N65" t="e">
        <f>VLOOKUP(A1,InvoicesData!$A$1:$DZU$1000000,1103,FALSE)</f>
        <v>#N/A</v>
      </c>
      <c r="O65" t="e">
        <f>VLOOKUP(A1,InvoicesData!$A$1:$DZU$1000000,1104,FALSE)</f>
        <v>#N/A</v>
      </c>
      <c r="P65" t="e">
        <f>VLOOKUP(A1,InvoicesData!$A$1:$DZU$1000000,1105,FALSE)</f>
        <v>#N/A</v>
      </c>
      <c r="Q65" t="e">
        <f>VLOOKUP(A1,InvoicesData!$A$1:$DZU$1000000,1106,FALSE)</f>
        <v>#N/A</v>
      </c>
    </row>
    <row r="66" spans="1:17">
      <c r="A66" t="e">
        <f>VLOOKUP(A1,InvoicesData!$A$1:$DZU$1000000,1107,FALSE)</f>
        <v>#N/A</v>
      </c>
      <c r="B66" t="e">
        <f>VLOOKUP(A1,InvoicesData!$A$1:$DZU$1000000,1108,FALSE)</f>
        <v>#N/A</v>
      </c>
      <c r="C66" t="e">
        <f>VLOOKUP(A1,InvoicesData!$A$1:$DZU$1000000,1109,FALSE)</f>
        <v>#N/A</v>
      </c>
      <c r="D66" t="e">
        <f>VLOOKUP(A1,InvoicesData!$A$1:$DZU$1000000,1110,FALSE)</f>
        <v>#N/A</v>
      </c>
      <c r="E66" t="e">
        <f>VLOOKUP(A1,InvoicesData!$A$1:$DZU$1000000,1111,FALSE)</f>
        <v>#N/A</v>
      </c>
      <c r="F66" t="e">
        <f>VLOOKUP(A1,InvoicesData!$A$1:$DZU$1000000,1112,FALSE)</f>
        <v>#N/A</v>
      </c>
      <c r="G66" t="e">
        <f>VLOOKUP(A1,InvoicesData!$A$1:$DZU$1000000,1113,FALSE)</f>
        <v>#N/A</v>
      </c>
      <c r="H66" t="e">
        <f>VLOOKUP(A1,InvoicesData!$A$1:$DZU$1000000,1114,FALSE)</f>
        <v>#N/A</v>
      </c>
      <c r="I66" t="e">
        <f>VLOOKUP(A1,InvoicesData!$A$1:$DZU$1000000,1115,FALSE)</f>
        <v>#N/A</v>
      </c>
      <c r="J66" t="e">
        <f>VLOOKUP(A1,InvoicesData!$A$1:$DZU$1000000,1116,FALSE)</f>
        <v>#N/A</v>
      </c>
      <c r="K66" t="e">
        <f>VLOOKUP(A1,InvoicesData!$A$1:$DZU$1000000,1117,FALSE)</f>
        <v>#N/A</v>
      </c>
      <c r="L66" t="e">
        <f>VLOOKUP(A1,InvoicesData!$A$1:$DZU$1000000,1118,FALSE)</f>
        <v>#N/A</v>
      </c>
      <c r="M66" t="e">
        <f>VLOOKUP(A1,InvoicesData!$A$1:$DZU$1000000,1119,FALSE)</f>
        <v>#N/A</v>
      </c>
      <c r="N66" t="e">
        <f>VLOOKUP(A1,InvoicesData!$A$1:$DZU$1000000,1120,FALSE)</f>
        <v>#N/A</v>
      </c>
      <c r="O66" t="e">
        <f>VLOOKUP(A1,InvoicesData!$A$1:$DZU$1000000,1121,FALSE)</f>
        <v>#N/A</v>
      </c>
      <c r="P66" t="e">
        <f>VLOOKUP(A1,InvoicesData!$A$1:$DZU$1000000,1122,FALSE)</f>
        <v>#N/A</v>
      </c>
      <c r="Q66" t="e">
        <f>VLOOKUP(A1,InvoicesData!$A$1:$DZU$1000000,1123,FALSE)</f>
        <v>#N/A</v>
      </c>
    </row>
    <row r="67" spans="1:17">
      <c r="A67" t="e">
        <f>VLOOKUP(A1,InvoicesData!$A$1:$DZU$1000000,1124,FALSE)</f>
        <v>#N/A</v>
      </c>
      <c r="B67" t="e">
        <f>VLOOKUP(A1,InvoicesData!$A$1:$DZU$1000000,1125,FALSE)</f>
        <v>#N/A</v>
      </c>
      <c r="C67" t="e">
        <f>VLOOKUP(A1,InvoicesData!$A$1:$DZU$1000000,1126,FALSE)</f>
        <v>#N/A</v>
      </c>
      <c r="D67" t="e">
        <f>VLOOKUP(A1,InvoicesData!$A$1:$DZU$1000000,1127,FALSE)</f>
        <v>#N/A</v>
      </c>
      <c r="E67" t="e">
        <f>VLOOKUP(A1,InvoicesData!$A$1:$DZU$1000000,1128,FALSE)</f>
        <v>#N/A</v>
      </c>
      <c r="F67" t="e">
        <f>VLOOKUP(A1,InvoicesData!$A$1:$DZU$1000000,1129,FALSE)</f>
        <v>#N/A</v>
      </c>
      <c r="G67" t="e">
        <f>VLOOKUP(A1,InvoicesData!$A$1:$DZU$1000000,1130,FALSE)</f>
        <v>#N/A</v>
      </c>
      <c r="H67" t="e">
        <f>VLOOKUP(A1,InvoicesData!$A$1:$DZU$1000000,1131,FALSE)</f>
        <v>#N/A</v>
      </c>
      <c r="I67" t="e">
        <f>VLOOKUP(A1,InvoicesData!$A$1:$DZU$1000000,1132,FALSE)</f>
        <v>#N/A</v>
      </c>
      <c r="J67" t="e">
        <f>VLOOKUP(A1,InvoicesData!$A$1:$DZU$1000000,1133,FALSE)</f>
        <v>#N/A</v>
      </c>
      <c r="K67" t="e">
        <f>VLOOKUP(A1,InvoicesData!$A$1:$DZU$1000000,1134,FALSE)</f>
        <v>#N/A</v>
      </c>
      <c r="L67" t="e">
        <f>VLOOKUP(A1,InvoicesData!$A$1:$DZU$1000000,1135,FALSE)</f>
        <v>#N/A</v>
      </c>
      <c r="M67" t="e">
        <f>VLOOKUP(A1,InvoicesData!$A$1:$DZU$1000000,1136,FALSE)</f>
        <v>#N/A</v>
      </c>
      <c r="N67" t="e">
        <f>VLOOKUP(A1,InvoicesData!$A$1:$DZU$1000000,1137,FALSE)</f>
        <v>#N/A</v>
      </c>
      <c r="O67" t="e">
        <f>VLOOKUP(A1,InvoicesData!$A$1:$DZU$1000000,1138,FALSE)</f>
        <v>#N/A</v>
      </c>
      <c r="P67" t="e">
        <f>VLOOKUP(A1,InvoicesData!$A$1:$DZU$1000000,1139,FALSE)</f>
        <v>#N/A</v>
      </c>
      <c r="Q67" t="e">
        <f>VLOOKUP(A1,InvoicesData!$A$1:$DZU$1000000,1140,FALSE)</f>
        <v>#N/A</v>
      </c>
    </row>
    <row r="68" spans="1:17">
      <c r="A68" t="e">
        <f>VLOOKUP(A1,InvoicesData!$A$1:$DZU$1000000,1141,FALSE)</f>
        <v>#N/A</v>
      </c>
      <c r="B68" t="e">
        <f>VLOOKUP(A1,InvoicesData!$A$1:$DZU$1000000,1142,FALSE)</f>
        <v>#N/A</v>
      </c>
      <c r="C68" t="e">
        <f>VLOOKUP(A1,InvoicesData!$A$1:$DZU$1000000,1143,FALSE)</f>
        <v>#N/A</v>
      </c>
      <c r="D68" t="e">
        <f>VLOOKUP(A1,InvoicesData!$A$1:$DZU$1000000,1144,FALSE)</f>
        <v>#N/A</v>
      </c>
      <c r="E68" t="e">
        <f>VLOOKUP(A1,InvoicesData!$A$1:$DZU$1000000,1145,FALSE)</f>
        <v>#N/A</v>
      </c>
      <c r="F68" t="e">
        <f>VLOOKUP(A1,InvoicesData!$A$1:$DZU$1000000,1146,FALSE)</f>
        <v>#N/A</v>
      </c>
      <c r="G68" t="e">
        <f>VLOOKUP(A1,InvoicesData!$A$1:$DZU$1000000,1147,FALSE)</f>
        <v>#N/A</v>
      </c>
      <c r="H68" t="e">
        <f>VLOOKUP(A1,InvoicesData!$A$1:$DZU$1000000,1148,FALSE)</f>
        <v>#N/A</v>
      </c>
      <c r="I68" t="e">
        <f>VLOOKUP(A1,InvoicesData!$A$1:$DZU$1000000,1149,FALSE)</f>
        <v>#N/A</v>
      </c>
      <c r="J68" t="e">
        <f>VLOOKUP(A1,InvoicesData!$A$1:$DZU$1000000,1150,FALSE)</f>
        <v>#N/A</v>
      </c>
      <c r="K68" t="e">
        <f>VLOOKUP(A1,InvoicesData!$A$1:$DZU$1000000,1151,FALSE)</f>
        <v>#N/A</v>
      </c>
      <c r="L68" t="e">
        <f>VLOOKUP(A1,InvoicesData!$A$1:$DZU$1000000,1152,FALSE)</f>
        <v>#N/A</v>
      </c>
      <c r="M68" t="e">
        <f>VLOOKUP(A1,InvoicesData!$A$1:$DZU$1000000,1153,FALSE)</f>
        <v>#N/A</v>
      </c>
      <c r="N68" t="e">
        <f>VLOOKUP(A1,InvoicesData!$A$1:$DZU$1000000,1154,FALSE)</f>
        <v>#N/A</v>
      </c>
      <c r="O68" t="e">
        <f>VLOOKUP(A1,InvoicesData!$A$1:$DZU$1000000,1155,FALSE)</f>
        <v>#N/A</v>
      </c>
      <c r="P68" t="e">
        <f>VLOOKUP(A1,InvoicesData!$A$1:$DZU$1000000,1156,FALSE)</f>
        <v>#N/A</v>
      </c>
      <c r="Q68" t="e">
        <f>VLOOKUP(A1,InvoicesData!$A$1:$DZU$1000000,1157,FALSE)</f>
        <v>#N/A</v>
      </c>
    </row>
    <row r="69" spans="1:17">
      <c r="A69" t="e">
        <f>VLOOKUP(A1,InvoicesData!$A$1:$DZU$1000000,1158,FALSE)</f>
        <v>#N/A</v>
      </c>
      <c r="B69" t="e">
        <f>VLOOKUP(A1,InvoicesData!$A$1:$DZU$1000000,1159,FALSE)</f>
        <v>#N/A</v>
      </c>
      <c r="C69" t="e">
        <f>VLOOKUP(A1,InvoicesData!$A$1:$DZU$1000000,1160,FALSE)</f>
        <v>#N/A</v>
      </c>
      <c r="D69" t="e">
        <f>VLOOKUP(A1,InvoicesData!$A$1:$DZU$1000000,1161,FALSE)</f>
        <v>#N/A</v>
      </c>
      <c r="E69" t="e">
        <f>VLOOKUP(A1,InvoicesData!$A$1:$DZU$1000000,1162,FALSE)</f>
        <v>#N/A</v>
      </c>
      <c r="F69" t="e">
        <f>VLOOKUP(A1,InvoicesData!$A$1:$DZU$1000000,1163,FALSE)</f>
        <v>#N/A</v>
      </c>
      <c r="G69" t="e">
        <f>VLOOKUP(A1,InvoicesData!$A$1:$DZU$1000000,1164,FALSE)</f>
        <v>#N/A</v>
      </c>
      <c r="H69" t="e">
        <f>VLOOKUP(A1,InvoicesData!$A$1:$DZU$1000000,1165,FALSE)</f>
        <v>#N/A</v>
      </c>
      <c r="I69" t="e">
        <f>VLOOKUP(A1,InvoicesData!$A$1:$DZU$1000000,1166,FALSE)</f>
        <v>#N/A</v>
      </c>
      <c r="J69" t="e">
        <f>VLOOKUP(A1,InvoicesData!$A$1:$DZU$1000000,1167,FALSE)</f>
        <v>#N/A</v>
      </c>
      <c r="K69" t="e">
        <f>VLOOKUP(A1,InvoicesData!$A$1:$DZU$1000000,1168,FALSE)</f>
        <v>#N/A</v>
      </c>
      <c r="L69" t="e">
        <f>VLOOKUP(A1,InvoicesData!$A$1:$DZU$1000000,1169,FALSE)</f>
        <v>#N/A</v>
      </c>
      <c r="M69" t="e">
        <f>VLOOKUP(A1,InvoicesData!$A$1:$DZU$1000000,1170,FALSE)</f>
        <v>#N/A</v>
      </c>
      <c r="N69" t="e">
        <f>VLOOKUP(A1,InvoicesData!$A$1:$DZU$1000000,1171,FALSE)</f>
        <v>#N/A</v>
      </c>
      <c r="O69" t="e">
        <f>VLOOKUP(A1,InvoicesData!$A$1:$DZU$1000000,1172,FALSE)</f>
        <v>#N/A</v>
      </c>
      <c r="P69" t="e">
        <f>VLOOKUP(A1,InvoicesData!$A$1:$DZU$1000000,1173,FALSE)</f>
        <v>#N/A</v>
      </c>
      <c r="Q69" t="e">
        <f>VLOOKUP(A1,InvoicesData!$A$1:$DZU$1000000,1174,FALSE)</f>
        <v>#N/A</v>
      </c>
    </row>
    <row r="70" spans="1:17">
      <c r="A70" t="e">
        <f>VLOOKUP(A1,InvoicesData!$A$1:$DZU$1000000,1175,FALSE)</f>
        <v>#N/A</v>
      </c>
      <c r="B70" t="e">
        <f>VLOOKUP(A1,InvoicesData!$A$1:$DZU$1000000,1176,FALSE)</f>
        <v>#N/A</v>
      </c>
      <c r="C70" t="e">
        <f>VLOOKUP(A1,InvoicesData!$A$1:$DZU$1000000,1177,FALSE)</f>
        <v>#N/A</v>
      </c>
      <c r="D70" t="e">
        <f>VLOOKUP(A1,InvoicesData!$A$1:$DZU$1000000,1178,FALSE)</f>
        <v>#N/A</v>
      </c>
      <c r="E70" t="e">
        <f>VLOOKUP(A1,InvoicesData!$A$1:$DZU$1000000,1179,FALSE)</f>
        <v>#N/A</v>
      </c>
      <c r="F70" t="e">
        <f>VLOOKUP(A1,InvoicesData!$A$1:$DZU$1000000,1180,FALSE)</f>
        <v>#N/A</v>
      </c>
      <c r="G70" t="e">
        <f>VLOOKUP(A1,InvoicesData!$A$1:$DZU$1000000,1181,FALSE)</f>
        <v>#N/A</v>
      </c>
      <c r="H70" t="e">
        <f>VLOOKUP(A1,InvoicesData!$A$1:$DZU$1000000,1182,FALSE)</f>
        <v>#N/A</v>
      </c>
      <c r="I70" t="e">
        <f>VLOOKUP(A1,InvoicesData!$A$1:$DZU$1000000,1183,FALSE)</f>
        <v>#N/A</v>
      </c>
      <c r="J70" t="e">
        <f>VLOOKUP(A1,InvoicesData!$A$1:$DZU$1000000,1184,FALSE)</f>
        <v>#N/A</v>
      </c>
      <c r="K70" t="e">
        <f>VLOOKUP(A1,InvoicesData!$A$1:$DZU$1000000,1185,FALSE)</f>
        <v>#N/A</v>
      </c>
      <c r="L70" t="e">
        <f>VLOOKUP(A1,InvoicesData!$A$1:$DZU$1000000,1186,FALSE)</f>
        <v>#N/A</v>
      </c>
      <c r="M70" t="e">
        <f>VLOOKUP(A1,InvoicesData!$A$1:$DZU$1000000,1187,FALSE)</f>
        <v>#N/A</v>
      </c>
      <c r="N70" t="e">
        <f>VLOOKUP(A1,InvoicesData!$A$1:$DZU$1000000,1188,FALSE)</f>
        <v>#N/A</v>
      </c>
      <c r="O70" t="e">
        <f>VLOOKUP(A1,InvoicesData!$A$1:$DZU$1000000,1189,FALSE)</f>
        <v>#N/A</v>
      </c>
      <c r="P70" t="e">
        <f>VLOOKUP(A1,InvoicesData!$A$1:$DZU$1000000,1190,FALSE)</f>
        <v>#N/A</v>
      </c>
      <c r="Q70" t="e">
        <f>VLOOKUP(A1,InvoicesData!$A$1:$DZU$1000000,1191,FALSE)</f>
        <v>#N/A</v>
      </c>
    </row>
    <row r="71" spans="1:17">
      <c r="A71" t="e">
        <f>VLOOKUP(A1,InvoicesData!$A$1:$DZU$1000000,1192,FALSE)</f>
        <v>#N/A</v>
      </c>
      <c r="B71" t="e">
        <f>VLOOKUP(A1,InvoicesData!$A$1:$DZU$1000000,1193,FALSE)</f>
        <v>#N/A</v>
      </c>
      <c r="C71" t="e">
        <f>VLOOKUP(A1,InvoicesData!$A$1:$DZU$1000000,1194,FALSE)</f>
        <v>#N/A</v>
      </c>
      <c r="D71" t="e">
        <f>VLOOKUP(A1,InvoicesData!$A$1:$DZU$1000000,1195,FALSE)</f>
        <v>#N/A</v>
      </c>
      <c r="E71" t="e">
        <f>VLOOKUP(A1,InvoicesData!$A$1:$DZU$1000000,1196,FALSE)</f>
        <v>#N/A</v>
      </c>
      <c r="F71" t="e">
        <f>VLOOKUP(A1,InvoicesData!$A$1:$DZU$1000000,1197,FALSE)</f>
        <v>#N/A</v>
      </c>
      <c r="G71" t="e">
        <f>VLOOKUP(A1,InvoicesData!$A$1:$DZU$1000000,1198,FALSE)</f>
        <v>#N/A</v>
      </c>
      <c r="H71" t="e">
        <f>VLOOKUP(A1,InvoicesData!$A$1:$DZU$1000000,1199,FALSE)</f>
        <v>#N/A</v>
      </c>
      <c r="I71" t="e">
        <f>VLOOKUP(A1,InvoicesData!$A$1:$DZU$1000000,1200,FALSE)</f>
        <v>#N/A</v>
      </c>
      <c r="J71" t="e">
        <f>VLOOKUP(A1,InvoicesData!$A$1:$DZU$1000000,1201,FALSE)</f>
        <v>#N/A</v>
      </c>
      <c r="K71" t="e">
        <f>VLOOKUP(A1,InvoicesData!$A$1:$DZU$1000000,1202,FALSE)</f>
        <v>#N/A</v>
      </c>
      <c r="L71" t="e">
        <f>VLOOKUP(A1,InvoicesData!$A$1:$DZU$1000000,1203,FALSE)</f>
        <v>#N/A</v>
      </c>
      <c r="M71" t="e">
        <f>VLOOKUP(A1,InvoicesData!$A$1:$DZU$1000000,1204,FALSE)</f>
        <v>#N/A</v>
      </c>
      <c r="N71" t="e">
        <f>VLOOKUP(A1,InvoicesData!$A$1:$DZU$1000000,1205,FALSE)</f>
        <v>#N/A</v>
      </c>
      <c r="O71" t="e">
        <f>VLOOKUP(A1,InvoicesData!$A$1:$DZU$1000000,1206,FALSE)</f>
        <v>#N/A</v>
      </c>
      <c r="P71" t="e">
        <f>VLOOKUP(A1,InvoicesData!$A$1:$DZU$1000000,1207,FALSE)</f>
        <v>#N/A</v>
      </c>
      <c r="Q71" t="e">
        <f>VLOOKUP(A1,InvoicesData!$A$1:$DZU$1000000,1208,FALSE)</f>
        <v>#N/A</v>
      </c>
    </row>
    <row r="72" spans="1:17">
      <c r="A72" t="e">
        <f>VLOOKUP(A1,InvoicesData!$A$1:$DZU$1000000,1209,FALSE)</f>
        <v>#N/A</v>
      </c>
      <c r="B72" t="e">
        <f>VLOOKUP(A1,InvoicesData!$A$1:$DZU$1000000,1210,FALSE)</f>
        <v>#N/A</v>
      </c>
      <c r="C72" t="e">
        <f>VLOOKUP(A1,InvoicesData!$A$1:$DZU$1000000,1211,FALSE)</f>
        <v>#N/A</v>
      </c>
      <c r="D72" t="e">
        <f>VLOOKUP(A1,InvoicesData!$A$1:$DZU$1000000,1212,FALSE)</f>
        <v>#N/A</v>
      </c>
      <c r="E72" t="e">
        <f>VLOOKUP(A1,InvoicesData!$A$1:$DZU$1000000,1213,FALSE)</f>
        <v>#N/A</v>
      </c>
      <c r="F72" t="e">
        <f>VLOOKUP(A1,InvoicesData!$A$1:$DZU$1000000,1214,FALSE)</f>
        <v>#N/A</v>
      </c>
      <c r="G72" t="e">
        <f>VLOOKUP(A1,InvoicesData!$A$1:$DZU$1000000,1215,FALSE)</f>
        <v>#N/A</v>
      </c>
      <c r="H72" t="e">
        <f>VLOOKUP(A1,InvoicesData!$A$1:$DZU$1000000,1216,FALSE)</f>
        <v>#N/A</v>
      </c>
      <c r="I72" t="e">
        <f>VLOOKUP(A1,InvoicesData!$A$1:$DZU$1000000,1217,FALSE)</f>
        <v>#N/A</v>
      </c>
      <c r="J72" t="e">
        <f>VLOOKUP(A1,InvoicesData!$A$1:$DZU$1000000,1218,FALSE)</f>
        <v>#N/A</v>
      </c>
      <c r="K72" t="e">
        <f>VLOOKUP(A1,InvoicesData!$A$1:$DZU$1000000,1219,FALSE)</f>
        <v>#N/A</v>
      </c>
      <c r="L72" t="e">
        <f>VLOOKUP(A1,InvoicesData!$A$1:$DZU$1000000,1220,FALSE)</f>
        <v>#N/A</v>
      </c>
      <c r="M72" t="e">
        <f>VLOOKUP(A1,InvoicesData!$A$1:$DZU$1000000,1221,FALSE)</f>
        <v>#N/A</v>
      </c>
      <c r="N72" t="e">
        <f>VLOOKUP(A1,InvoicesData!$A$1:$DZU$1000000,1222,FALSE)</f>
        <v>#N/A</v>
      </c>
      <c r="O72" t="e">
        <f>VLOOKUP(A1,InvoicesData!$A$1:$DZU$1000000,1223,FALSE)</f>
        <v>#N/A</v>
      </c>
      <c r="P72" t="e">
        <f>VLOOKUP(A1,InvoicesData!$A$1:$DZU$1000000,1224,FALSE)</f>
        <v>#N/A</v>
      </c>
      <c r="Q72" t="e">
        <f>VLOOKUP(A1,InvoicesData!$A$1:$DZU$1000000,1225,FALSE)</f>
        <v>#N/A</v>
      </c>
    </row>
    <row r="73" spans="1:17">
      <c r="A73" t="e">
        <f>VLOOKUP(A1,InvoicesData!$A$1:$DZU$1000000,1226,FALSE)</f>
        <v>#N/A</v>
      </c>
      <c r="B73" t="e">
        <f>VLOOKUP(A1,InvoicesData!$A$1:$DZU$1000000,1227,FALSE)</f>
        <v>#N/A</v>
      </c>
      <c r="C73" t="e">
        <f>VLOOKUP(A1,InvoicesData!$A$1:$DZU$1000000,1228,FALSE)</f>
        <v>#N/A</v>
      </c>
      <c r="D73" t="e">
        <f>VLOOKUP(A1,InvoicesData!$A$1:$DZU$1000000,1229,FALSE)</f>
        <v>#N/A</v>
      </c>
      <c r="E73" t="e">
        <f>VLOOKUP(A1,InvoicesData!$A$1:$DZU$1000000,1230,FALSE)</f>
        <v>#N/A</v>
      </c>
      <c r="F73" t="e">
        <f>VLOOKUP(A1,InvoicesData!$A$1:$DZU$1000000,1231,FALSE)</f>
        <v>#N/A</v>
      </c>
      <c r="G73" t="e">
        <f>VLOOKUP(A1,InvoicesData!$A$1:$DZU$1000000,1232,FALSE)</f>
        <v>#N/A</v>
      </c>
      <c r="H73" t="e">
        <f>VLOOKUP(A1,InvoicesData!$A$1:$DZU$1000000,1233,FALSE)</f>
        <v>#N/A</v>
      </c>
      <c r="I73" t="e">
        <f>VLOOKUP(A1,InvoicesData!$A$1:$DZU$1000000,1234,FALSE)</f>
        <v>#N/A</v>
      </c>
      <c r="J73" t="e">
        <f>VLOOKUP(A1,InvoicesData!$A$1:$DZU$1000000,1235,FALSE)</f>
        <v>#N/A</v>
      </c>
      <c r="K73" t="e">
        <f>VLOOKUP(A1,InvoicesData!$A$1:$DZU$1000000,1236,FALSE)</f>
        <v>#N/A</v>
      </c>
      <c r="L73" t="e">
        <f>VLOOKUP(A1,InvoicesData!$A$1:$DZU$1000000,1237,FALSE)</f>
        <v>#N/A</v>
      </c>
      <c r="M73" t="e">
        <f>VLOOKUP(A1,InvoicesData!$A$1:$DZU$1000000,1238,FALSE)</f>
        <v>#N/A</v>
      </c>
      <c r="N73" t="e">
        <f>VLOOKUP(A1,InvoicesData!$A$1:$DZU$1000000,1239,FALSE)</f>
        <v>#N/A</v>
      </c>
      <c r="O73" t="e">
        <f>VLOOKUP(A1,InvoicesData!$A$1:$DZU$1000000,1240,FALSE)</f>
        <v>#N/A</v>
      </c>
      <c r="P73" t="e">
        <f>VLOOKUP(A1,InvoicesData!$A$1:$DZU$1000000,1241,FALSE)</f>
        <v>#N/A</v>
      </c>
      <c r="Q73" t="e">
        <f>VLOOKUP(A1,InvoicesData!$A$1:$DZU$1000000,1242,FALSE)</f>
        <v>#N/A</v>
      </c>
    </row>
    <row r="74" spans="1:17">
      <c r="A74" t="e">
        <f>VLOOKUP(A1,InvoicesData!$A$1:$DZU$1000000,1243,FALSE)</f>
        <v>#N/A</v>
      </c>
      <c r="B74" t="e">
        <f>VLOOKUP(A1,InvoicesData!$A$1:$DZU$1000000,1244,FALSE)</f>
        <v>#N/A</v>
      </c>
      <c r="C74" t="e">
        <f>VLOOKUP(A1,InvoicesData!$A$1:$DZU$1000000,1245,FALSE)</f>
        <v>#N/A</v>
      </c>
      <c r="D74" t="e">
        <f>VLOOKUP(A1,InvoicesData!$A$1:$DZU$1000000,1246,FALSE)</f>
        <v>#N/A</v>
      </c>
      <c r="E74" t="e">
        <f>VLOOKUP(A1,InvoicesData!$A$1:$DZU$1000000,1247,FALSE)</f>
        <v>#N/A</v>
      </c>
      <c r="F74" t="e">
        <f>VLOOKUP(A1,InvoicesData!$A$1:$DZU$1000000,1248,FALSE)</f>
        <v>#N/A</v>
      </c>
      <c r="G74" t="e">
        <f>VLOOKUP(A1,InvoicesData!$A$1:$DZU$1000000,1249,FALSE)</f>
        <v>#N/A</v>
      </c>
      <c r="H74" t="e">
        <f>VLOOKUP(A1,InvoicesData!$A$1:$DZU$1000000,1250,FALSE)</f>
        <v>#N/A</v>
      </c>
      <c r="I74" t="e">
        <f>VLOOKUP(A1,InvoicesData!$A$1:$DZU$1000000,1251,FALSE)</f>
        <v>#N/A</v>
      </c>
      <c r="J74" t="e">
        <f>VLOOKUP(A1,InvoicesData!$A$1:$DZU$1000000,1252,FALSE)</f>
        <v>#N/A</v>
      </c>
      <c r="K74" t="e">
        <f>VLOOKUP(A1,InvoicesData!$A$1:$DZU$1000000,1253,FALSE)</f>
        <v>#N/A</v>
      </c>
      <c r="L74" t="e">
        <f>VLOOKUP(A1,InvoicesData!$A$1:$DZU$1000000,1254,FALSE)</f>
        <v>#N/A</v>
      </c>
      <c r="M74" t="e">
        <f>VLOOKUP(A1,InvoicesData!$A$1:$DZU$1000000,1255,FALSE)</f>
        <v>#N/A</v>
      </c>
      <c r="N74" t="e">
        <f>VLOOKUP(A1,InvoicesData!$A$1:$DZU$1000000,1256,FALSE)</f>
        <v>#N/A</v>
      </c>
      <c r="O74" t="e">
        <f>VLOOKUP(A1,InvoicesData!$A$1:$DZU$1000000,1257,FALSE)</f>
        <v>#N/A</v>
      </c>
      <c r="P74" t="e">
        <f>VLOOKUP(A1,InvoicesData!$A$1:$DZU$1000000,1258,FALSE)</f>
        <v>#N/A</v>
      </c>
      <c r="Q74" t="e">
        <f>VLOOKUP(A1,InvoicesData!$A$1:$DZU$1000000,1259,FALSE)</f>
        <v>#N/A</v>
      </c>
    </row>
    <row r="75" spans="1:17">
      <c r="A75" t="e">
        <f>VLOOKUP(A1,InvoicesData!$A$1:$DZU$1000000,1260,FALSE)</f>
        <v>#N/A</v>
      </c>
      <c r="B75" t="e">
        <f>VLOOKUP(A1,InvoicesData!$A$1:$DZU$1000000,1261,FALSE)</f>
        <v>#N/A</v>
      </c>
      <c r="C75" t="e">
        <f>VLOOKUP(A1,InvoicesData!$A$1:$DZU$1000000,1262,FALSE)</f>
        <v>#N/A</v>
      </c>
      <c r="D75" t="e">
        <f>VLOOKUP(A1,InvoicesData!$A$1:$DZU$1000000,1263,FALSE)</f>
        <v>#N/A</v>
      </c>
      <c r="E75" t="e">
        <f>VLOOKUP(A1,InvoicesData!$A$1:$DZU$1000000,1264,FALSE)</f>
        <v>#N/A</v>
      </c>
      <c r="F75" t="e">
        <f>VLOOKUP(A1,InvoicesData!$A$1:$DZU$1000000,1265,FALSE)</f>
        <v>#N/A</v>
      </c>
      <c r="G75" t="e">
        <f>VLOOKUP(A1,InvoicesData!$A$1:$DZU$1000000,1266,FALSE)</f>
        <v>#N/A</v>
      </c>
      <c r="H75" t="e">
        <f>VLOOKUP(A1,InvoicesData!$A$1:$DZU$1000000,1267,FALSE)</f>
        <v>#N/A</v>
      </c>
      <c r="I75" t="e">
        <f>VLOOKUP(A1,InvoicesData!$A$1:$DZU$1000000,1268,FALSE)</f>
        <v>#N/A</v>
      </c>
      <c r="J75" t="e">
        <f>VLOOKUP(A1,InvoicesData!$A$1:$DZU$1000000,1269,FALSE)</f>
        <v>#N/A</v>
      </c>
      <c r="K75" t="e">
        <f>VLOOKUP(A1,InvoicesData!$A$1:$DZU$1000000,1270,FALSE)</f>
        <v>#N/A</v>
      </c>
      <c r="L75" t="e">
        <f>VLOOKUP(A1,InvoicesData!$A$1:$DZU$1000000,1271,FALSE)</f>
        <v>#N/A</v>
      </c>
      <c r="M75" t="e">
        <f>VLOOKUP(A1,InvoicesData!$A$1:$DZU$1000000,1272,FALSE)</f>
        <v>#N/A</v>
      </c>
      <c r="N75" t="e">
        <f>VLOOKUP(A1,InvoicesData!$A$1:$DZU$1000000,1273,FALSE)</f>
        <v>#N/A</v>
      </c>
      <c r="O75" t="e">
        <f>VLOOKUP(A1,InvoicesData!$A$1:$DZU$1000000,1274,FALSE)</f>
        <v>#N/A</v>
      </c>
      <c r="P75" t="e">
        <f>VLOOKUP(A1,InvoicesData!$A$1:$DZU$1000000,1275,FALSE)</f>
        <v>#N/A</v>
      </c>
      <c r="Q75" t="e">
        <f>VLOOKUP(A1,InvoicesData!$A$1:$DZU$1000000,1276,FALSE)</f>
        <v>#N/A</v>
      </c>
    </row>
    <row r="76" spans="1:17">
      <c r="A76" t="e">
        <f>VLOOKUP(A1,InvoicesData!$A$1:$DZU$1000000,1277,FALSE)</f>
        <v>#N/A</v>
      </c>
      <c r="B76" t="e">
        <f>VLOOKUP(A1,InvoicesData!$A$1:$DZU$1000000,1278,FALSE)</f>
        <v>#N/A</v>
      </c>
      <c r="C76" t="e">
        <f>VLOOKUP(A1,InvoicesData!$A$1:$DZU$1000000,1279,FALSE)</f>
        <v>#N/A</v>
      </c>
      <c r="D76" t="e">
        <f>VLOOKUP(A1,InvoicesData!$A$1:$DZU$1000000,1280,FALSE)</f>
        <v>#N/A</v>
      </c>
      <c r="E76" t="e">
        <f>VLOOKUP(A1,InvoicesData!$A$1:$DZU$1000000,1281,FALSE)</f>
        <v>#N/A</v>
      </c>
      <c r="F76" t="e">
        <f>VLOOKUP(A1,InvoicesData!$A$1:$DZU$1000000,1282,FALSE)</f>
        <v>#N/A</v>
      </c>
      <c r="G76" t="e">
        <f>VLOOKUP(A1,InvoicesData!$A$1:$DZU$1000000,1283,FALSE)</f>
        <v>#N/A</v>
      </c>
      <c r="H76" t="e">
        <f>VLOOKUP(A1,InvoicesData!$A$1:$DZU$1000000,1284,FALSE)</f>
        <v>#N/A</v>
      </c>
      <c r="I76" t="e">
        <f>VLOOKUP(A1,InvoicesData!$A$1:$DZU$1000000,1285,FALSE)</f>
        <v>#N/A</v>
      </c>
      <c r="J76" t="e">
        <f>VLOOKUP(A1,InvoicesData!$A$1:$DZU$1000000,1286,FALSE)</f>
        <v>#N/A</v>
      </c>
      <c r="K76" t="e">
        <f>VLOOKUP(A1,InvoicesData!$A$1:$DZU$1000000,1287,FALSE)</f>
        <v>#N/A</v>
      </c>
      <c r="L76" t="e">
        <f>VLOOKUP(A1,InvoicesData!$A$1:$DZU$1000000,1288,FALSE)</f>
        <v>#N/A</v>
      </c>
      <c r="M76" t="e">
        <f>VLOOKUP(A1,InvoicesData!$A$1:$DZU$1000000,1289,FALSE)</f>
        <v>#N/A</v>
      </c>
      <c r="N76" t="e">
        <f>VLOOKUP(A1,InvoicesData!$A$1:$DZU$1000000,1290,FALSE)</f>
        <v>#N/A</v>
      </c>
      <c r="O76" t="e">
        <f>VLOOKUP(A1,InvoicesData!$A$1:$DZU$1000000,1291,FALSE)</f>
        <v>#N/A</v>
      </c>
      <c r="P76" t="e">
        <f>VLOOKUP(A1,InvoicesData!$A$1:$DZU$1000000,1292,FALSE)</f>
        <v>#N/A</v>
      </c>
      <c r="Q76" t="e">
        <f>VLOOKUP(A1,InvoicesData!$A$1:$DZU$1000000,1293,FALSE)</f>
        <v>#N/A</v>
      </c>
    </row>
    <row r="77" spans="1:17">
      <c r="A77" t="e">
        <f>VLOOKUP(A1,InvoicesData!$A$1:$DZU$1000000,1294,FALSE)</f>
        <v>#N/A</v>
      </c>
      <c r="B77" t="e">
        <f>VLOOKUP(A1,InvoicesData!$A$1:$DZU$1000000,1295,FALSE)</f>
        <v>#N/A</v>
      </c>
      <c r="C77" t="e">
        <f>VLOOKUP(A1,InvoicesData!$A$1:$DZU$1000000,1296,FALSE)</f>
        <v>#N/A</v>
      </c>
      <c r="D77" t="e">
        <f>VLOOKUP(A1,InvoicesData!$A$1:$DZU$1000000,1297,FALSE)</f>
        <v>#N/A</v>
      </c>
      <c r="E77" t="e">
        <f>VLOOKUP(A1,InvoicesData!$A$1:$DZU$1000000,1298,FALSE)</f>
        <v>#N/A</v>
      </c>
      <c r="F77" t="e">
        <f>VLOOKUP(A1,InvoicesData!$A$1:$DZU$1000000,1299,FALSE)</f>
        <v>#N/A</v>
      </c>
      <c r="G77" t="e">
        <f>VLOOKUP(A1,InvoicesData!$A$1:$DZU$1000000,1300,FALSE)</f>
        <v>#N/A</v>
      </c>
      <c r="H77" t="e">
        <f>VLOOKUP(A1,InvoicesData!$A$1:$DZU$1000000,1301,FALSE)</f>
        <v>#N/A</v>
      </c>
      <c r="I77" t="e">
        <f>VLOOKUP(A1,InvoicesData!$A$1:$DZU$1000000,1302,FALSE)</f>
        <v>#N/A</v>
      </c>
      <c r="J77" t="e">
        <f>VLOOKUP(A1,InvoicesData!$A$1:$DZU$1000000,1303,FALSE)</f>
        <v>#N/A</v>
      </c>
      <c r="K77" t="e">
        <f>VLOOKUP(A1,InvoicesData!$A$1:$DZU$1000000,1304,FALSE)</f>
        <v>#N/A</v>
      </c>
      <c r="L77" t="e">
        <f>VLOOKUP(A1,InvoicesData!$A$1:$DZU$1000000,1305,FALSE)</f>
        <v>#N/A</v>
      </c>
      <c r="M77" t="e">
        <f>VLOOKUP(A1,InvoicesData!$A$1:$DZU$1000000,1306,FALSE)</f>
        <v>#N/A</v>
      </c>
      <c r="N77" t="e">
        <f>VLOOKUP(A1,InvoicesData!$A$1:$DZU$1000000,1307,FALSE)</f>
        <v>#N/A</v>
      </c>
      <c r="O77" t="e">
        <f>VLOOKUP(A1,InvoicesData!$A$1:$DZU$1000000,1308,FALSE)</f>
        <v>#N/A</v>
      </c>
      <c r="P77" t="e">
        <f>VLOOKUP(A1,InvoicesData!$A$1:$DZU$1000000,1309,FALSE)</f>
        <v>#N/A</v>
      </c>
      <c r="Q77" t="e">
        <f>VLOOKUP(A1,InvoicesData!$A$1:$DZU$1000000,1310,FALSE)</f>
        <v>#N/A</v>
      </c>
    </row>
    <row r="78" spans="1:17">
      <c r="A78" t="e">
        <f>VLOOKUP(A1,InvoicesData!$A$1:$DZU$1000000,1311,FALSE)</f>
        <v>#N/A</v>
      </c>
      <c r="B78" t="e">
        <f>VLOOKUP(A1,InvoicesData!$A$1:$DZU$1000000,1312,FALSE)</f>
        <v>#N/A</v>
      </c>
      <c r="C78" t="e">
        <f>VLOOKUP(A1,InvoicesData!$A$1:$DZU$1000000,1313,FALSE)</f>
        <v>#N/A</v>
      </c>
      <c r="D78" t="e">
        <f>VLOOKUP(A1,InvoicesData!$A$1:$DZU$1000000,1314,FALSE)</f>
        <v>#N/A</v>
      </c>
      <c r="E78" t="e">
        <f>VLOOKUP(A1,InvoicesData!$A$1:$DZU$1000000,1315,FALSE)</f>
        <v>#N/A</v>
      </c>
      <c r="F78" t="e">
        <f>VLOOKUP(A1,InvoicesData!$A$1:$DZU$1000000,1316,FALSE)</f>
        <v>#N/A</v>
      </c>
      <c r="G78" t="e">
        <f>VLOOKUP(A1,InvoicesData!$A$1:$DZU$1000000,1317,FALSE)</f>
        <v>#N/A</v>
      </c>
      <c r="H78" t="e">
        <f>VLOOKUP(A1,InvoicesData!$A$1:$DZU$1000000,1318,FALSE)</f>
        <v>#N/A</v>
      </c>
      <c r="I78" t="e">
        <f>VLOOKUP(A1,InvoicesData!$A$1:$DZU$1000000,1319,FALSE)</f>
        <v>#N/A</v>
      </c>
      <c r="J78" t="e">
        <f>VLOOKUP(A1,InvoicesData!$A$1:$DZU$1000000,1320,FALSE)</f>
        <v>#N/A</v>
      </c>
      <c r="K78" t="e">
        <f>VLOOKUP(A1,InvoicesData!$A$1:$DZU$1000000,1321,FALSE)</f>
        <v>#N/A</v>
      </c>
      <c r="L78" t="e">
        <f>VLOOKUP(A1,InvoicesData!$A$1:$DZU$1000000,1322,FALSE)</f>
        <v>#N/A</v>
      </c>
      <c r="M78" t="e">
        <f>VLOOKUP(A1,InvoicesData!$A$1:$DZU$1000000,1323,FALSE)</f>
        <v>#N/A</v>
      </c>
      <c r="N78" t="e">
        <f>VLOOKUP(A1,InvoicesData!$A$1:$DZU$1000000,1324,FALSE)</f>
        <v>#N/A</v>
      </c>
      <c r="O78" t="e">
        <f>VLOOKUP(A1,InvoicesData!$A$1:$DZU$1000000,1325,FALSE)</f>
        <v>#N/A</v>
      </c>
      <c r="P78" t="e">
        <f>VLOOKUP(A1,InvoicesData!$A$1:$DZU$1000000,1326,FALSE)</f>
        <v>#N/A</v>
      </c>
      <c r="Q78" t="e">
        <f>VLOOKUP(A1,InvoicesData!$A$1:$DZU$1000000,1327,FALSE)</f>
        <v>#N/A</v>
      </c>
    </row>
    <row r="79" spans="1:17">
      <c r="A79" t="e">
        <f>VLOOKUP(A1,InvoicesData!$A$1:$DZU$1000000,1328,FALSE)</f>
        <v>#N/A</v>
      </c>
      <c r="B79" t="e">
        <f>VLOOKUP(A1,InvoicesData!$A$1:$DZU$1000000,1329,FALSE)</f>
        <v>#N/A</v>
      </c>
      <c r="C79" t="e">
        <f>VLOOKUP(A1,InvoicesData!$A$1:$DZU$1000000,1330,FALSE)</f>
        <v>#N/A</v>
      </c>
      <c r="D79" t="e">
        <f>VLOOKUP(A1,InvoicesData!$A$1:$DZU$1000000,1331,FALSE)</f>
        <v>#N/A</v>
      </c>
      <c r="E79" t="e">
        <f>VLOOKUP(A1,InvoicesData!$A$1:$DZU$1000000,1332,FALSE)</f>
        <v>#N/A</v>
      </c>
      <c r="F79" t="e">
        <f>VLOOKUP(A1,InvoicesData!$A$1:$DZU$1000000,1333,FALSE)</f>
        <v>#N/A</v>
      </c>
      <c r="G79" t="e">
        <f>VLOOKUP(A1,InvoicesData!$A$1:$DZU$1000000,1334,FALSE)</f>
        <v>#N/A</v>
      </c>
      <c r="H79" t="e">
        <f>VLOOKUP(A1,InvoicesData!$A$1:$DZU$1000000,1335,FALSE)</f>
        <v>#N/A</v>
      </c>
      <c r="I79" t="e">
        <f>VLOOKUP(A1,InvoicesData!$A$1:$DZU$1000000,1336,FALSE)</f>
        <v>#N/A</v>
      </c>
      <c r="J79" t="e">
        <f>VLOOKUP(A1,InvoicesData!$A$1:$DZU$1000000,1337,FALSE)</f>
        <v>#N/A</v>
      </c>
      <c r="K79" t="e">
        <f>VLOOKUP(A1,InvoicesData!$A$1:$DZU$1000000,1338,FALSE)</f>
        <v>#N/A</v>
      </c>
      <c r="L79" t="e">
        <f>VLOOKUP(A1,InvoicesData!$A$1:$DZU$1000000,1339,FALSE)</f>
        <v>#N/A</v>
      </c>
      <c r="M79" t="e">
        <f>VLOOKUP(A1,InvoicesData!$A$1:$DZU$1000000,1340,FALSE)</f>
        <v>#N/A</v>
      </c>
      <c r="N79" t="e">
        <f>VLOOKUP(A1,InvoicesData!$A$1:$DZU$1000000,1341,FALSE)</f>
        <v>#N/A</v>
      </c>
      <c r="O79" t="e">
        <f>VLOOKUP(A1,InvoicesData!$A$1:$DZU$1000000,1342,FALSE)</f>
        <v>#N/A</v>
      </c>
      <c r="P79" t="e">
        <f>VLOOKUP(A1,InvoicesData!$A$1:$DZU$1000000,1343,FALSE)</f>
        <v>#N/A</v>
      </c>
      <c r="Q79" t="e">
        <f>VLOOKUP(A1,InvoicesData!$A$1:$DZU$1000000,1344,FALSE)</f>
        <v>#N/A</v>
      </c>
    </row>
    <row r="80" spans="1:17">
      <c r="A80" t="e">
        <f>VLOOKUP(A1,InvoicesData!$A$1:$DZU$1000000,1345,FALSE)</f>
        <v>#N/A</v>
      </c>
      <c r="B80" t="e">
        <f>VLOOKUP(A1,InvoicesData!$A$1:$DZU$1000000,1346,FALSE)</f>
        <v>#N/A</v>
      </c>
      <c r="C80" t="e">
        <f>VLOOKUP(A1,InvoicesData!$A$1:$DZU$1000000,1347,FALSE)</f>
        <v>#N/A</v>
      </c>
      <c r="D80" t="e">
        <f>VLOOKUP(A1,InvoicesData!$A$1:$DZU$1000000,1348,FALSE)</f>
        <v>#N/A</v>
      </c>
      <c r="E80" t="e">
        <f>VLOOKUP(A1,InvoicesData!$A$1:$DZU$1000000,1349,FALSE)</f>
        <v>#N/A</v>
      </c>
      <c r="F80" t="e">
        <f>VLOOKUP(A1,InvoicesData!$A$1:$DZU$1000000,1350,FALSE)</f>
        <v>#N/A</v>
      </c>
      <c r="G80" t="e">
        <f>VLOOKUP(A1,InvoicesData!$A$1:$DZU$1000000,1351,FALSE)</f>
        <v>#N/A</v>
      </c>
      <c r="H80" t="e">
        <f>VLOOKUP(A1,InvoicesData!$A$1:$DZU$1000000,1352,FALSE)</f>
        <v>#N/A</v>
      </c>
      <c r="I80" t="e">
        <f>VLOOKUP(A1,InvoicesData!$A$1:$DZU$1000000,1353,FALSE)</f>
        <v>#N/A</v>
      </c>
      <c r="J80" t="e">
        <f>VLOOKUP(A1,InvoicesData!$A$1:$DZU$1000000,1354,FALSE)</f>
        <v>#N/A</v>
      </c>
      <c r="K80" t="e">
        <f>VLOOKUP(A1,InvoicesData!$A$1:$DZU$1000000,1355,FALSE)</f>
        <v>#N/A</v>
      </c>
      <c r="L80" t="e">
        <f>VLOOKUP(A1,InvoicesData!$A$1:$DZU$1000000,1356,FALSE)</f>
        <v>#N/A</v>
      </c>
      <c r="M80" t="e">
        <f>VLOOKUP(A1,InvoicesData!$A$1:$DZU$1000000,1357,FALSE)</f>
        <v>#N/A</v>
      </c>
      <c r="N80" t="e">
        <f>VLOOKUP(A1,InvoicesData!$A$1:$DZU$1000000,1358,FALSE)</f>
        <v>#N/A</v>
      </c>
      <c r="O80" t="e">
        <f>VLOOKUP(A1,InvoicesData!$A$1:$DZU$1000000,1359,FALSE)</f>
        <v>#N/A</v>
      </c>
      <c r="P80" t="e">
        <f>VLOOKUP(A1,InvoicesData!$A$1:$DZU$1000000,1360,FALSE)</f>
        <v>#N/A</v>
      </c>
      <c r="Q80" t="e">
        <f>VLOOKUP(A1,InvoicesData!$A$1:$DZU$1000000,1361,FALSE)</f>
        <v>#N/A</v>
      </c>
    </row>
    <row r="81" spans="1:17">
      <c r="A81" t="e">
        <f>VLOOKUP(A1,InvoicesData!$A$1:$DZU$1000000,1362,FALSE)</f>
        <v>#N/A</v>
      </c>
      <c r="B81" t="e">
        <f>VLOOKUP(A1,InvoicesData!$A$1:$DZU$1000000,1363,FALSE)</f>
        <v>#N/A</v>
      </c>
      <c r="C81" t="e">
        <f>VLOOKUP(A1,InvoicesData!$A$1:$DZU$1000000,1364,FALSE)</f>
        <v>#N/A</v>
      </c>
      <c r="D81" t="e">
        <f>VLOOKUP(A1,InvoicesData!$A$1:$DZU$1000000,1365,FALSE)</f>
        <v>#N/A</v>
      </c>
      <c r="E81" t="e">
        <f>VLOOKUP(A1,InvoicesData!$A$1:$DZU$1000000,1366,FALSE)</f>
        <v>#N/A</v>
      </c>
      <c r="F81" t="e">
        <f>VLOOKUP(A1,InvoicesData!$A$1:$DZU$1000000,1367,FALSE)</f>
        <v>#N/A</v>
      </c>
      <c r="G81" t="e">
        <f>VLOOKUP(A1,InvoicesData!$A$1:$DZU$1000000,1368,FALSE)</f>
        <v>#N/A</v>
      </c>
      <c r="H81" t="e">
        <f>VLOOKUP(A1,InvoicesData!$A$1:$DZU$1000000,1369,FALSE)</f>
        <v>#N/A</v>
      </c>
      <c r="I81" t="e">
        <f>VLOOKUP(A1,InvoicesData!$A$1:$DZU$1000000,1370,FALSE)</f>
        <v>#N/A</v>
      </c>
      <c r="J81" t="e">
        <f>VLOOKUP(A1,InvoicesData!$A$1:$DZU$1000000,1371,FALSE)</f>
        <v>#N/A</v>
      </c>
      <c r="K81" t="e">
        <f>VLOOKUP(A1,InvoicesData!$A$1:$DZU$1000000,1372,FALSE)</f>
        <v>#N/A</v>
      </c>
      <c r="L81" t="e">
        <f>VLOOKUP(A1,InvoicesData!$A$1:$DZU$1000000,1373,FALSE)</f>
        <v>#N/A</v>
      </c>
      <c r="M81" t="e">
        <f>VLOOKUP(A1,InvoicesData!$A$1:$DZU$1000000,1374,FALSE)</f>
        <v>#N/A</v>
      </c>
      <c r="N81" t="e">
        <f>VLOOKUP(A1,InvoicesData!$A$1:$DZU$1000000,1375,FALSE)</f>
        <v>#N/A</v>
      </c>
      <c r="O81" t="e">
        <f>VLOOKUP(A1,InvoicesData!$A$1:$DZU$1000000,1376,FALSE)</f>
        <v>#N/A</v>
      </c>
      <c r="P81" t="e">
        <f>VLOOKUP(A1,InvoicesData!$A$1:$DZU$1000000,1377,FALSE)</f>
        <v>#N/A</v>
      </c>
      <c r="Q81" t="e">
        <f>VLOOKUP(A1,InvoicesData!$A$1:$DZU$1000000,1378,FALSE)</f>
        <v>#N/A</v>
      </c>
    </row>
    <row r="82" spans="1:17">
      <c r="A82" t="e">
        <f>VLOOKUP(A1,InvoicesData!$A$1:$DZU$1000000,1379,FALSE)</f>
        <v>#N/A</v>
      </c>
      <c r="B82" t="e">
        <f>VLOOKUP(A1,InvoicesData!$A$1:$DZU$1000000,1380,FALSE)</f>
        <v>#N/A</v>
      </c>
      <c r="C82" t="e">
        <f>VLOOKUP(A1,InvoicesData!$A$1:$DZU$1000000,1381,FALSE)</f>
        <v>#N/A</v>
      </c>
      <c r="D82" t="e">
        <f>VLOOKUP(A1,InvoicesData!$A$1:$DZU$1000000,1382,FALSE)</f>
        <v>#N/A</v>
      </c>
      <c r="E82" t="e">
        <f>VLOOKUP(A1,InvoicesData!$A$1:$DZU$1000000,1383,FALSE)</f>
        <v>#N/A</v>
      </c>
      <c r="F82" t="e">
        <f>VLOOKUP(A1,InvoicesData!$A$1:$DZU$1000000,1384,FALSE)</f>
        <v>#N/A</v>
      </c>
      <c r="G82" t="e">
        <f>VLOOKUP(A1,InvoicesData!$A$1:$DZU$1000000,1385,FALSE)</f>
        <v>#N/A</v>
      </c>
      <c r="H82" t="e">
        <f>VLOOKUP(A1,InvoicesData!$A$1:$DZU$1000000,1386,FALSE)</f>
        <v>#N/A</v>
      </c>
      <c r="I82" t="e">
        <f>VLOOKUP(A1,InvoicesData!$A$1:$DZU$1000000,1387,FALSE)</f>
        <v>#N/A</v>
      </c>
      <c r="J82" t="e">
        <f>VLOOKUP(A1,InvoicesData!$A$1:$DZU$1000000,1388,FALSE)</f>
        <v>#N/A</v>
      </c>
      <c r="K82" t="e">
        <f>VLOOKUP(A1,InvoicesData!$A$1:$DZU$1000000,1389,FALSE)</f>
        <v>#N/A</v>
      </c>
      <c r="L82" t="e">
        <f>VLOOKUP(A1,InvoicesData!$A$1:$DZU$1000000,1390,FALSE)</f>
        <v>#N/A</v>
      </c>
      <c r="M82" t="e">
        <f>VLOOKUP(A1,InvoicesData!$A$1:$DZU$1000000,1391,FALSE)</f>
        <v>#N/A</v>
      </c>
      <c r="N82" t="e">
        <f>VLOOKUP(A1,InvoicesData!$A$1:$DZU$1000000,1392,FALSE)</f>
        <v>#N/A</v>
      </c>
      <c r="O82" t="e">
        <f>VLOOKUP(A1,InvoicesData!$A$1:$DZU$1000000,1393,FALSE)</f>
        <v>#N/A</v>
      </c>
      <c r="P82" t="e">
        <f>VLOOKUP(A1,InvoicesData!$A$1:$DZU$1000000,1394,FALSE)</f>
        <v>#N/A</v>
      </c>
      <c r="Q82" t="e">
        <f>VLOOKUP(A1,InvoicesData!$A$1:$DZU$1000000,1395,FALSE)</f>
        <v>#N/A</v>
      </c>
    </row>
    <row r="83" spans="1:17">
      <c r="A83" t="e">
        <f>VLOOKUP(A1,InvoicesData!$A$1:$DZU$1000000,1396,FALSE)</f>
        <v>#N/A</v>
      </c>
      <c r="B83" t="e">
        <f>VLOOKUP(A1,InvoicesData!$A$1:$DZU$1000000,1397,FALSE)</f>
        <v>#N/A</v>
      </c>
      <c r="C83" t="e">
        <f>VLOOKUP(A1,InvoicesData!$A$1:$DZU$1000000,1398,FALSE)</f>
        <v>#N/A</v>
      </c>
      <c r="D83" t="e">
        <f>VLOOKUP(A1,InvoicesData!$A$1:$DZU$1000000,1399,FALSE)</f>
        <v>#N/A</v>
      </c>
      <c r="E83" t="e">
        <f>VLOOKUP(A1,InvoicesData!$A$1:$DZU$1000000,1400,FALSE)</f>
        <v>#N/A</v>
      </c>
      <c r="F83" t="e">
        <f>VLOOKUP(A1,InvoicesData!$A$1:$DZU$1000000,1401,FALSE)</f>
        <v>#N/A</v>
      </c>
      <c r="G83" t="e">
        <f>VLOOKUP(A1,InvoicesData!$A$1:$DZU$1000000,1402,FALSE)</f>
        <v>#N/A</v>
      </c>
      <c r="H83" t="e">
        <f>VLOOKUP(A1,InvoicesData!$A$1:$DZU$1000000,1403,FALSE)</f>
        <v>#N/A</v>
      </c>
      <c r="I83" t="e">
        <f>VLOOKUP(A1,InvoicesData!$A$1:$DZU$1000000,1404,FALSE)</f>
        <v>#N/A</v>
      </c>
      <c r="J83" t="e">
        <f>VLOOKUP(A1,InvoicesData!$A$1:$DZU$1000000,1405,FALSE)</f>
        <v>#N/A</v>
      </c>
      <c r="K83" t="e">
        <f>VLOOKUP(A1,InvoicesData!$A$1:$DZU$1000000,1406,FALSE)</f>
        <v>#N/A</v>
      </c>
      <c r="L83" t="e">
        <f>VLOOKUP(A1,InvoicesData!$A$1:$DZU$1000000,1407,FALSE)</f>
        <v>#N/A</v>
      </c>
      <c r="M83" t="e">
        <f>VLOOKUP(A1,InvoicesData!$A$1:$DZU$1000000,1408,FALSE)</f>
        <v>#N/A</v>
      </c>
      <c r="N83" t="e">
        <f>VLOOKUP(A1,InvoicesData!$A$1:$DZU$1000000,1409,FALSE)</f>
        <v>#N/A</v>
      </c>
      <c r="O83" t="e">
        <f>VLOOKUP(A1,InvoicesData!$A$1:$DZU$1000000,1410,FALSE)</f>
        <v>#N/A</v>
      </c>
      <c r="P83" t="e">
        <f>VLOOKUP(A1,InvoicesData!$A$1:$DZU$1000000,1411,FALSE)</f>
        <v>#N/A</v>
      </c>
      <c r="Q83" t="e">
        <f>VLOOKUP(A1,InvoicesData!$A$1:$DZU$1000000,1412,FALSE)</f>
        <v>#N/A</v>
      </c>
    </row>
    <row r="84" spans="1:17">
      <c r="A84" t="e">
        <f>VLOOKUP(A1,InvoicesData!$A$1:$DZU$1000000,1413,FALSE)</f>
        <v>#N/A</v>
      </c>
      <c r="B84" t="e">
        <f>VLOOKUP(A1,InvoicesData!$A$1:$DZU$1000000,1414,FALSE)</f>
        <v>#N/A</v>
      </c>
      <c r="C84" t="e">
        <f>VLOOKUP(A1,InvoicesData!$A$1:$DZU$1000000,1415,FALSE)</f>
        <v>#N/A</v>
      </c>
      <c r="D84" t="e">
        <f>VLOOKUP(A1,InvoicesData!$A$1:$DZU$1000000,1416,FALSE)</f>
        <v>#N/A</v>
      </c>
      <c r="E84" t="e">
        <f>VLOOKUP(A1,InvoicesData!$A$1:$DZU$1000000,1417,FALSE)</f>
        <v>#N/A</v>
      </c>
      <c r="F84" t="e">
        <f>VLOOKUP(A1,InvoicesData!$A$1:$DZU$1000000,1418,FALSE)</f>
        <v>#N/A</v>
      </c>
      <c r="G84" t="e">
        <f>VLOOKUP(A1,InvoicesData!$A$1:$DZU$1000000,1419,FALSE)</f>
        <v>#N/A</v>
      </c>
      <c r="H84" t="e">
        <f>VLOOKUP(A1,InvoicesData!$A$1:$DZU$1000000,1420,FALSE)</f>
        <v>#N/A</v>
      </c>
      <c r="I84" t="e">
        <f>VLOOKUP(A1,InvoicesData!$A$1:$DZU$1000000,1421,FALSE)</f>
        <v>#N/A</v>
      </c>
      <c r="J84" t="e">
        <f>VLOOKUP(A1,InvoicesData!$A$1:$DZU$1000000,1422,FALSE)</f>
        <v>#N/A</v>
      </c>
      <c r="K84" t="e">
        <f>VLOOKUP(A1,InvoicesData!$A$1:$DZU$1000000,1423,FALSE)</f>
        <v>#N/A</v>
      </c>
      <c r="L84" t="e">
        <f>VLOOKUP(A1,InvoicesData!$A$1:$DZU$1000000,1424,FALSE)</f>
        <v>#N/A</v>
      </c>
      <c r="M84" t="e">
        <f>VLOOKUP(A1,InvoicesData!$A$1:$DZU$1000000,1425,FALSE)</f>
        <v>#N/A</v>
      </c>
      <c r="N84" t="e">
        <f>VLOOKUP(A1,InvoicesData!$A$1:$DZU$1000000,1426,FALSE)</f>
        <v>#N/A</v>
      </c>
      <c r="O84" t="e">
        <f>VLOOKUP(A1,InvoicesData!$A$1:$DZU$1000000,1427,FALSE)</f>
        <v>#N/A</v>
      </c>
      <c r="P84" t="e">
        <f>VLOOKUP(A1,InvoicesData!$A$1:$DZU$1000000,1428,FALSE)</f>
        <v>#N/A</v>
      </c>
      <c r="Q84" t="e">
        <f>VLOOKUP(A1,InvoicesData!$A$1:$DZU$1000000,1429,FALSE)</f>
        <v>#N/A</v>
      </c>
    </row>
    <row r="85" spans="1:17">
      <c r="A85" t="e">
        <f>VLOOKUP(A1,InvoicesData!$A$1:$DZU$1000000,1430,FALSE)</f>
        <v>#N/A</v>
      </c>
      <c r="B85" t="e">
        <f>VLOOKUP(A1,InvoicesData!$A$1:$DZU$1000000,1431,FALSE)</f>
        <v>#N/A</v>
      </c>
      <c r="C85" t="e">
        <f>VLOOKUP(A1,InvoicesData!$A$1:$DZU$1000000,1432,FALSE)</f>
        <v>#N/A</v>
      </c>
      <c r="D85" t="e">
        <f>VLOOKUP(A1,InvoicesData!$A$1:$DZU$1000000,1433,FALSE)</f>
        <v>#N/A</v>
      </c>
      <c r="E85" t="e">
        <f>VLOOKUP(A1,InvoicesData!$A$1:$DZU$1000000,1434,FALSE)</f>
        <v>#N/A</v>
      </c>
      <c r="F85" t="e">
        <f>VLOOKUP(A1,InvoicesData!$A$1:$DZU$1000000,1435,FALSE)</f>
        <v>#N/A</v>
      </c>
      <c r="G85" t="e">
        <f>VLOOKUP(A1,InvoicesData!$A$1:$DZU$1000000,1436,FALSE)</f>
        <v>#N/A</v>
      </c>
      <c r="H85" t="e">
        <f>VLOOKUP(A1,InvoicesData!$A$1:$DZU$1000000,1437,FALSE)</f>
        <v>#N/A</v>
      </c>
      <c r="I85" t="e">
        <f>VLOOKUP(A1,InvoicesData!$A$1:$DZU$1000000,1438,FALSE)</f>
        <v>#N/A</v>
      </c>
      <c r="J85" t="e">
        <f>VLOOKUP(A1,InvoicesData!$A$1:$DZU$1000000,1439,FALSE)</f>
        <v>#N/A</v>
      </c>
      <c r="K85" t="e">
        <f>VLOOKUP(A1,InvoicesData!$A$1:$DZU$1000000,1440,FALSE)</f>
        <v>#N/A</v>
      </c>
      <c r="L85" t="e">
        <f>VLOOKUP(A1,InvoicesData!$A$1:$DZU$1000000,1441,FALSE)</f>
        <v>#N/A</v>
      </c>
      <c r="M85" t="e">
        <f>VLOOKUP(A1,InvoicesData!$A$1:$DZU$1000000,1442,FALSE)</f>
        <v>#N/A</v>
      </c>
      <c r="N85" t="e">
        <f>VLOOKUP(A1,InvoicesData!$A$1:$DZU$1000000,1443,FALSE)</f>
        <v>#N/A</v>
      </c>
      <c r="O85" t="e">
        <f>VLOOKUP(A1,InvoicesData!$A$1:$DZU$1000000,1444,FALSE)</f>
        <v>#N/A</v>
      </c>
      <c r="P85" t="e">
        <f>VLOOKUP(A1,InvoicesData!$A$1:$DZU$1000000,1445,FALSE)</f>
        <v>#N/A</v>
      </c>
      <c r="Q85" t="e">
        <f>VLOOKUP(A1,InvoicesData!$A$1:$DZU$1000000,1446,FALSE)</f>
        <v>#N/A</v>
      </c>
    </row>
    <row r="86" spans="1:17">
      <c r="A86" t="e">
        <f>VLOOKUP(A1,InvoicesData!$A$1:$DZU$1000000,1447,FALSE)</f>
        <v>#N/A</v>
      </c>
      <c r="B86" t="e">
        <f>VLOOKUP(A1,InvoicesData!$A$1:$DZU$1000000,1448,FALSE)</f>
        <v>#N/A</v>
      </c>
      <c r="C86" t="e">
        <f>VLOOKUP(A1,InvoicesData!$A$1:$DZU$1000000,1449,FALSE)</f>
        <v>#N/A</v>
      </c>
      <c r="D86" t="e">
        <f>VLOOKUP(A1,InvoicesData!$A$1:$DZU$1000000,1450,FALSE)</f>
        <v>#N/A</v>
      </c>
      <c r="E86" t="e">
        <f>VLOOKUP(A1,InvoicesData!$A$1:$DZU$1000000,1451,FALSE)</f>
        <v>#N/A</v>
      </c>
      <c r="F86" t="e">
        <f>VLOOKUP(A1,InvoicesData!$A$1:$DZU$1000000,1452,FALSE)</f>
        <v>#N/A</v>
      </c>
      <c r="G86" t="e">
        <f>VLOOKUP(A1,InvoicesData!$A$1:$DZU$1000000,1453,FALSE)</f>
        <v>#N/A</v>
      </c>
      <c r="H86" t="e">
        <f>VLOOKUP(A1,InvoicesData!$A$1:$DZU$1000000,1454,FALSE)</f>
        <v>#N/A</v>
      </c>
      <c r="I86" t="e">
        <f>VLOOKUP(A1,InvoicesData!$A$1:$DZU$1000000,1455,FALSE)</f>
        <v>#N/A</v>
      </c>
      <c r="J86" t="e">
        <f>VLOOKUP(A1,InvoicesData!$A$1:$DZU$1000000,1456,FALSE)</f>
        <v>#N/A</v>
      </c>
      <c r="K86" t="e">
        <f>VLOOKUP(A1,InvoicesData!$A$1:$DZU$1000000,1457,FALSE)</f>
        <v>#N/A</v>
      </c>
      <c r="L86" t="e">
        <f>VLOOKUP(A1,InvoicesData!$A$1:$DZU$1000000,1458,FALSE)</f>
        <v>#N/A</v>
      </c>
      <c r="M86" t="e">
        <f>VLOOKUP(A1,InvoicesData!$A$1:$DZU$1000000,1459,FALSE)</f>
        <v>#N/A</v>
      </c>
      <c r="N86" t="e">
        <f>VLOOKUP(A1,InvoicesData!$A$1:$DZU$1000000,1460,FALSE)</f>
        <v>#N/A</v>
      </c>
      <c r="O86" t="e">
        <f>VLOOKUP(A1,InvoicesData!$A$1:$DZU$1000000,1461,FALSE)</f>
        <v>#N/A</v>
      </c>
      <c r="P86" t="e">
        <f>VLOOKUP(A1,InvoicesData!$A$1:$DZU$1000000,1462,FALSE)</f>
        <v>#N/A</v>
      </c>
      <c r="Q86" t="e">
        <f>VLOOKUP(A1,InvoicesData!$A$1:$DZU$1000000,1463,FALSE)</f>
        <v>#N/A</v>
      </c>
    </row>
    <row r="87" spans="1:17">
      <c r="A87" t="e">
        <f>VLOOKUP(A1,InvoicesData!$A$1:$DZU$1000000,1464,FALSE)</f>
        <v>#N/A</v>
      </c>
      <c r="B87" t="e">
        <f>VLOOKUP(A1,InvoicesData!$A$1:$DZU$1000000,1465,FALSE)</f>
        <v>#N/A</v>
      </c>
      <c r="C87" t="e">
        <f>VLOOKUP(A1,InvoicesData!$A$1:$DZU$1000000,1466,FALSE)</f>
        <v>#N/A</v>
      </c>
      <c r="D87" t="e">
        <f>VLOOKUP(A1,InvoicesData!$A$1:$DZU$1000000,1467,FALSE)</f>
        <v>#N/A</v>
      </c>
      <c r="E87" t="e">
        <f>VLOOKUP(A1,InvoicesData!$A$1:$DZU$1000000,1468,FALSE)</f>
        <v>#N/A</v>
      </c>
      <c r="F87" t="e">
        <f>VLOOKUP(A1,InvoicesData!$A$1:$DZU$1000000,1469,FALSE)</f>
        <v>#N/A</v>
      </c>
      <c r="G87" t="e">
        <f>VLOOKUP(A1,InvoicesData!$A$1:$DZU$1000000,1470,FALSE)</f>
        <v>#N/A</v>
      </c>
      <c r="H87" t="e">
        <f>VLOOKUP(A1,InvoicesData!$A$1:$DZU$1000000,1471,FALSE)</f>
        <v>#N/A</v>
      </c>
      <c r="I87" t="e">
        <f>VLOOKUP(A1,InvoicesData!$A$1:$DZU$1000000,1472,FALSE)</f>
        <v>#N/A</v>
      </c>
      <c r="J87" t="e">
        <f>VLOOKUP(A1,InvoicesData!$A$1:$DZU$1000000,1473,FALSE)</f>
        <v>#N/A</v>
      </c>
      <c r="K87" t="e">
        <f>VLOOKUP(A1,InvoicesData!$A$1:$DZU$1000000,1474,FALSE)</f>
        <v>#N/A</v>
      </c>
      <c r="L87" t="e">
        <f>VLOOKUP(A1,InvoicesData!$A$1:$DZU$1000000,1475,FALSE)</f>
        <v>#N/A</v>
      </c>
      <c r="M87" t="e">
        <f>VLOOKUP(A1,InvoicesData!$A$1:$DZU$1000000,1476,FALSE)</f>
        <v>#N/A</v>
      </c>
      <c r="N87" t="e">
        <f>VLOOKUP(A1,InvoicesData!$A$1:$DZU$1000000,1477,FALSE)</f>
        <v>#N/A</v>
      </c>
      <c r="O87" t="e">
        <f>VLOOKUP(A1,InvoicesData!$A$1:$DZU$1000000,1478,FALSE)</f>
        <v>#N/A</v>
      </c>
      <c r="P87" t="e">
        <f>VLOOKUP(A1,InvoicesData!$A$1:$DZU$1000000,1479,FALSE)</f>
        <v>#N/A</v>
      </c>
      <c r="Q87" t="e">
        <f>VLOOKUP(A1,InvoicesData!$A$1:$DZU$1000000,1480,FALSE)</f>
        <v>#N/A</v>
      </c>
    </row>
    <row r="88" spans="1:17">
      <c r="A88" t="e">
        <f>VLOOKUP(A1,InvoicesData!$A$1:$DZU$1000000,1481,FALSE)</f>
        <v>#N/A</v>
      </c>
      <c r="B88" t="e">
        <f>VLOOKUP(A1,InvoicesData!$A$1:$DZU$1000000,1482,FALSE)</f>
        <v>#N/A</v>
      </c>
      <c r="C88" t="e">
        <f>VLOOKUP(A1,InvoicesData!$A$1:$DZU$1000000,1483,FALSE)</f>
        <v>#N/A</v>
      </c>
      <c r="D88" t="e">
        <f>VLOOKUP(A1,InvoicesData!$A$1:$DZU$1000000,1484,FALSE)</f>
        <v>#N/A</v>
      </c>
      <c r="E88" t="e">
        <f>VLOOKUP(A1,InvoicesData!$A$1:$DZU$1000000,1485,FALSE)</f>
        <v>#N/A</v>
      </c>
      <c r="F88" t="e">
        <f>VLOOKUP(A1,InvoicesData!$A$1:$DZU$1000000,1486,FALSE)</f>
        <v>#N/A</v>
      </c>
      <c r="G88" t="e">
        <f>VLOOKUP(A1,InvoicesData!$A$1:$DZU$1000000,1487,FALSE)</f>
        <v>#N/A</v>
      </c>
      <c r="H88" t="e">
        <f>VLOOKUP(A1,InvoicesData!$A$1:$DZU$1000000,1488,FALSE)</f>
        <v>#N/A</v>
      </c>
      <c r="I88" t="e">
        <f>VLOOKUP(A1,InvoicesData!$A$1:$DZU$1000000,1489,FALSE)</f>
        <v>#N/A</v>
      </c>
      <c r="J88" t="e">
        <f>VLOOKUP(A1,InvoicesData!$A$1:$DZU$1000000,1490,FALSE)</f>
        <v>#N/A</v>
      </c>
      <c r="K88" t="e">
        <f>VLOOKUP(A1,InvoicesData!$A$1:$DZU$1000000,1491,FALSE)</f>
        <v>#N/A</v>
      </c>
      <c r="L88" t="e">
        <f>VLOOKUP(A1,InvoicesData!$A$1:$DZU$1000000,1492,FALSE)</f>
        <v>#N/A</v>
      </c>
      <c r="M88" t="e">
        <f>VLOOKUP(A1,InvoicesData!$A$1:$DZU$1000000,1493,FALSE)</f>
        <v>#N/A</v>
      </c>
      <c r="N88" t="e">
        <f>VLOOKUP(A1,InvoicesData!$A$1:$DZU$1000000,1494,FALSE)</f>
        <v>#N/A</v>
      </c>
      <c r="O88" t="e">
        <f>VLOOKUP(A1,InvoicesData!$A$1:$DZU$1000000,1495,FALSE)</f>
        <v>#N/A</v>
      </c>
      <c r="P88" t="e">
        <f>VLOOKUP(A1,InvoicesData!$A$1:$DZU$1000000,1496,FALSE)</f>
        <v>#N/A</v>
      </c>
      <c r="Q88" t="e">
        <f>VLOOKUP(A1,InvoicesData!$A$1:$DZU$1000000,1497,FALSE)</f>
        <v>#N/A</v>
      </c>
    </row>
    <row r="89" spans="1:17">
      <c r="A89" t="e">
        <f>VLOOKUP(A1,InvoicesData!$A$1:$DZU$1000000,1498,FALSE)</f>
        <v>#N/A</v>
      </c>
      <c r="B89" t="e">
        <f>VLOOKUP(A1,InvoicesData!$A$1:$DZU$1000000,1499,FALSE)</f>
        <v>#N/A</v>
      </c>
      <c r="C89" t="e">
        <f>VLOOKUP(A1,InvoicesData!$A$1:$DZU$1000000,1500,FALSE)</f>
        <v>#N/A</v>
      </c>
      <c r="D89" t="e">
        <f>VLOOKUP(A1,InvoicesData!$A$1:$DZU$1000000,1501,FALSE)</f>
        <v>#N/A</v>
      </c>
      <c r="E89" t="e">
        <f>VLOOKUP(A1,InvoicesData!$A$1:$DZU$1000000,1502,FALSE)</f>
        <v>#N/A</v>
      </c>
      <c r="F89" t="e">
        <f>VLOOKUP(A1,InvoicesData!$A$1:$DZU$1000000,1503,FALSE)</f>
        <v>#N/A</v>
      </c>
      <c r="G89" t="e">
        <f>VLOOKUP(A1,InvoicesData!$A$1:$DZU$1000000,1504,FALSE)</f>
        <v>#N/A</v>
      </c>
      <c r="H89" t="e">
        <f>VLOOKUP(A1,InvoicesData!$A$1:$DZU$1000000,1505,FALSE)</f>
        <v>#N/A</v>
      </c>
      <c r="I89" t="e">
        <f>VLOOKUP(A1,InvoicesData!$A$1:$DZU$1000000,1506,FALSE)</f>
        <v>#N/A</v>
      </c>
      <c r="J89" t="e">
        <f>VLOOKUP(A1,InvoicesData!$A$1:$DZU$1000000,1507,FALSE)</f>
        <v>#N/A</v>
      </c>
      <c r="K89" t="e">
        <f>VLOOKUP(A1,InvoicesData!$A$1:$DZU$1000000,1508,FALSE)</f>
        <v>#N/A</v>
      </c>
      <c r="L89" t="e">
        <f>VLOOKUP(A1,InvoicesData!$A$1:$DZU$1000000,1509,FALSE)</f>
        <v>#N/A</v>
      </c>
      <c r="M89" t="e">
        <f>VLOOKUP(A1,InvoicesData!$A$1:$DZU$1000000,1510,FALSE)</f>
        <v>#N/A</v>
      </c>
      <c r="N89" t="e">
        <f>VLOOKUP(A1,InvoicesData!$A$1:$DZU$1000000,1511,FALSE)</f>
        <v>#N/A</v>
      </c>
      <c r="O89" t="e">
        <f>VLOOKUP(A1,InvoicesData!$A$1:$DZU$1000000,1512,FALSE)</f>
        <v>#N/A</v>
      </c>
      <c r="P89" t="e">
        <f>VLOOKUP(A1,InvoicesData!$A$1:$DZU$1000000,1513,FALSE)</f>
        <v>#N/A</v>
      </c>
      <c r="Q89" t="e">
        <f>VLOOKUP(A1,InvoicesData!$A$1:$DZU$1000000,1514,FALSE)</f>
        <v>#N/A</v>
      </c>
    </row>
    <row r="90" spans="1:17">
      <c r="A90" t="e">
        <f>VLOOKUP(A1,InvoicesData!$A$1:$DZU$1000000,1515,FALSE)</f>
        <v>#N/A</v>
      </c>
      <c r="B90" t="e">
        <f>VLOOKUP(A1,InvoicesData!$A$1:$DZU$1000000,1516,FALSE)</f>
        <v>#N/A</v>
      </c>
      <c r="C90" t="e">
        <f>VLOOKUP(A1,InvoicesData!$A$1:$DZU$1000000,1517,FALSE)</f>
        <v>#N/A</v>
      </c>
      <c r="D90" t="e">
        <f>VLOOKUP(A1,InvoicesData!$A$1:$DZU$1000000,1518,FALSE)</f>
        <v>#N/A</v>
      </c>
      <c r="E90" t="e">
        <f>VLOOKUP(A1,InvoicesData!$A$1:$DZU$1000000,1519,FALSE)</f>
        <v>#N/A</v>
      </c>
      <c r="F90" t="e">
        <f>VLOOKUP(A1,InvoicesData!$A$1:$DZU$1000000,1520,FALSE)</f>
        <v>#N/A</v>
      </c>
      <c r="G90" t="e">
        <f>VLOOKUP(A1,InvoicesData!$A$1:$DZU$1000000,1521,FALSE)</f>
        <v>#N/A</v>
      </c>
      <c r="H90" t="e">
        <f>VLOOKUP(A1,InvoicesData!$A$1:$DZU$1000000,1522,FALSE)</f>
        <v>#N/A</v>
      </c>
      <c r="I90" t="e">
        <f>VLOOKUP(A1,InvoicesData!$A$1:$DZU$1000000,1523,FALSE)</f>
        <v>#N/A</v>
      </c>
      <c r="J90" t="e">
        <f>VLOOKUP(A1,InvoicesData!$A$1:$DZU$1000000,1524,FALSE)</f>
        <v>#N/A</v>
      </c>
      <c r="K90" t="e">
        <f>VLOOKUP(A1,InvoicesData!$A$1:$DZU$1000000,1525,FALSE)</f>
        <v>#N/A</v>
      </c>
      <c r="L90" t="e">
        <f>VLOOKUP(A1,InvoicesData!$A$1:$DZU$1000000,1526,FALSE)</f>
        <v>#N/A</v>
      </c>
      <c r="M90" t="e">
        <f>VLOOKUP(A1,InvoicesData!$A$1:$DZU$1000000,1527,FALSE)</f>
        <v>#N/A</v>
      </c>
      <c r="N90" t="e">
        <f>VLOOKUP(A1,InvoicesData!$A$1:$DZU$1000000,1528,FALSE)</f>
        <v>#N/A</v>
      </c>
      <c r="O90" t="e">
        <f>VLOOKUP(A1,InvoicesData!$A$1:$DZU$1000000,1529,FALSE)</f>
        <v>#N/A</v>
      </c>
      <c r="P90" t="e">
        <f>VLOOKUP(A1,InvoicesData!$A$1:$DZU$1000000,1530,FALSE)</f>
        <v>#N/A</v>
      </c>
      <c r="Q90" t="e">
        <f>VLOOKUP(A1,InvoicesData!$A$1:$DZU$1000000,1531,FALSE)</f>
        <v>#N/A</v>
      </c>
    </row>
    <row r="91" spans="1:17">
      <c r="A91" t="e">
        <f>VLOOKUP(A1,InvoicesData!$A$1:$DZU$1000000,1532,FALSE)</f>
        <v>#N/A</v>
      </c>
      <c r="B91" t="e">
        <f>VLOOKUP(A1,InvoicesData!$A$1:$DZU$1000000,1533,FALSE)</f>
        <v>#N/A</v>
      </c>
      <c r="C91" t="e">
        <f>VLOOKUP(A1,InvoicesData!$A$1:$DZU$1000000,1534,FALSE)</f>
        <v>#N/A</v>
      </c>
      <c r="D91" t="e">
        <f>VLOOKUP(A1,InvoicesData!$A$1:$DZU$1000000,1535,FALSE)</f>
        <v>#N/A</v>
      </c>
      <c r="E91" t="e">
        <f>VLOOKUP(A1,InvoicesData!$A$1:$DZU$1000000,1536,FALSE)</f>
        <v>#N/A</v>
      </c>
      <c r="F91" t="e">
        <f>VLOOKUP(A1,InvoicesData!$A$1:$DZU$1000000,1537,FALSE)</f>
        <v>#N/A</v>
      </c>
      <c r="G91" t="e">
        <f>VLOOKUP(A1,InvoicesData!$A$1:$DZU$1000000,1538,FALSE)</f>
        <v>#N/A</v>
      </c>
      <c r="H91" t="e">
        <f>VLOOKUP(A1,InvoicesData!$A$1:$DZU$1000000,1539,FALSE)</f>
        <v>#N/A</v>
      </c>
      <c r="I91" t="e">
        <f>VLOOKUP(A1,InvoicesData!$A$1:$DZU$1000000,1540,FALSE)</f>
        <v>#N/A</v>
      </c>
      <c r="J91" t="e">
        <f>VLOOKUP(A1,InvoicesData!$A$1:$DZU$1000000,1541,FALSE)</f>
        <v>#N/A</v>
      </c>
      <c r="K91" t="e">
        <f>VLOOKUP(A1,InvoicesData!$A$1:$DZU$1000000,1542,FALSE)</f>
        <v>#N/A</v>
      </c>
      <c r="L91" t="e">
        <f>VLOOKUP(A1,InvoicesData!$A$1:$DZU$1000000,1543,FALSE)</f>
        <v>#N/A</v>
      </c>
      <c r="M91" t="e">
        <f>VLOOKUP(A1,InvoicesData!$A$1:$DZU$1000000,1544,FALSE)</f>
        <v>#N/A</v>
      </c>
      <c r="N91" t="e">
        <f>VLOOKUP(A1,InvoicesData!$A$1:$DZU$1000000,1545,FALSE)</f>
        <v>#N/A</v>
      </c>
      <c r="O91" t="e">
        <f>VLOOKUP(A1,InvoicesData!$A$1:$DZU$1000000,1546,FALSE)</f>
        <v>#N/A</v>
      </c>
      <c r="P91" t="e">
        <f>VLOOKUP(A1,InvoicesData!$A$1:$DZU$1000000,1547,FALSE)</f>
        <v>#N/A</v>
      </c>
      <c r="Q91" t="e">
        <f>VLOOKUP(A1,InvoicesData!$A$1:$DZU$1000000,1548,FALSE)</f>
        <v>#N/A</v>
      </c>
    </row>
    <row r="92" spans="1:17">
      <c r="A92" t="e">
        <f>VLOOKUP(A1,InvoicesData!$A$1:$DZU$1000000,1549,FALSE)</f>
        <v>#N/A</v>
      </c>
      <c r="B92" t="e">
        <f>VLOOKUP(A1,InvoicesData!$A$1:$DZU$1000000,1550,FALSE)</f>
        <v>#N/A</v>
      </c>
      <c r="C92" t="e">
        <f>VLOOKUP(A1,InvoicesData!$A$1:$DZU$1000000,1551,FALSE)</f>
        <v>#N/A</v>
      </c>
      <c r="D92" t="e">
        <f>VLOOKUP(A1,InvoicesData!$A$1:$DZU$1000000,1552,FALSE)</f>
        <v>#N/A</v>
      </c>
      <c r="E92" t="e">
        <f>VLOOKUP(A1,InvoicesData!$A$1:$DZU$1000000,1553,FALSE)</f>
        <v>#N/A</v>
      </c>
      <c r="F92" t="e">
        <f>VLOOKUP(A1,InvoicesData!$A$1:$DZU$1000000,1554,FALSE)</f>
        <v>#N/A</v>
      </c>
      <c r="G92" t="e">
        <f>VLOOKUP(A1,InvoicesData!$A$1:$DZU$1000000,1555,FALSE)</f>
        <v>#N/A</v>
      </c>
      <c r="H92" t="e">
        <f>VLOOKUP(A1,InvoicesData!$A$1:$DZU$1000000,1556,FALSE)</f>
        <v>#N/A</v>
      </c>
      <c r="I92" t="e">
        <f>VLOOKUP(A1,InvoicesData!$A$1:$DZU$1000000,1557,FALSE)</f>
        <v>#N/A</v>
      </c>
      <c r="J92" t="e">
        <f>VLOOKUP(A1,InvoicesData!$A$1:$DZU$1000000,1558,FALSE)</f>
        <v>#N/A</v>
      </c>
      <c r="K92" t="e">
        <f>VLOOKUP(A1,InvoicesData!$A$1:$DZU$1000000,1559,FALSE)</f>
        <v>#N/A</v>
      </c>
      <c r="L92" t="e">
        <f>VLOOKUP(A1,InvoicesData!$A$1:$DZU$1000000,1560,FALSE)</f>
        <v>#N/A</v>
      </c>
      <c r="M92" t="e">
        <f>VLOOKUP(A1,InvoicesData!$A$1:$DZU$1000000,1561,FALSE)</f>
        <v>#N/A</v>
      </c>
      <c r="N92" t="e">
        <f>VLOOKUP(A1,InvoicesData!$A$1:$DZU$1000000,1562,FALSE)</f>
        <v>#N/A</v>
      </c>
      <c r="O92" t="e">
        <f>VLOOKUP(A1,InvoicesData!$A$1:$DZU$1000000,1563,FALSE)</f>
        <v>#N/A</v>
      </c>
      <c r="P92" t="e">
        <f>VLOOKUP(A1,InvoicesData!$A$1:$DZU$1000000,1564,FALSE)</f>
        <v>#N/A</v>
      </c>
      <c r="Q92" t="e">
        <f>VLOOKUP(A1,InvoicesData!$A$1:$DZU$1000000,1565,FALSE)</f>
        <v>#N/A</v>
      </c>
    </row>
    <row r="93" spans="1:17">
      <c r="A93" t="e">
        <f>VLOOKUP(A1,InvoicesData!$A$1:$DZU$1000000,1566,FALSE)</f>
        <v>#N/A</v>
      </c>
      <c r="B93" t="e">
        <f>VLOOKUP(A1,InvoicesData!$A$1:$DZU$1000000,1567,FALSE)</f>
        <v>#N/A</v>
      </c>
      <c r="C93" t="e">
        <f>VLOOKUP(A1,InvoicesData!$A$1:$DZU$1000000,1568,FALSE)</f>
        <v>#N/A</v>
      </c>
      <c r="D93" t="e">
        <f>VLOOKUP(A1,InvoicesData!$A$1:$DZU$1000000,1569,FALSE)</f>
        <v>#N/A</v>
      </c>
      <c r="E93" t="e">
        <f>VLOOKUP(A1,InvoicesData!$A$1:$DZU$1000000,1570,FALSE)</f>
        <v>#N/A</v>
      </c>
      <c r="F93" t="e">
        <f>VLOOKUP(A1,InvoicesData!$A$1:$DZU$1000000,1571,FALSE)</f>
        <v>#N/A</v>
      </c>
      <c r="G93" t="e">
        <f>VLOOKUP(A1,InvoicesData!$A$1:$DZU$1000000,1572,FALSE)</f>
        <v>#N/A</v>
      </c>
      <c r="H93" t="e">
        <f>VLOOKUP(A1,InvoicesData!$A$1:$DZU$1000000,1573,FALSE)</f>
        <v>#N/A</v>
      </c>
      <c r="I93" t="e">
        <f>VLOOKUP(A1,InvoicesData!$A$1:$DZU$1000000,1574,FALSE)</f>
        <v>#N/A</v>
      </c>
      <c r="J93" t="e">
        <f>VLOOKUP(A1,InvoicesData!$A$1:$DZU$1000000,1575,FALSE)</f>
        <v>#N/A</v>
      </c>
      <c r="K93" t="e">
        <f>VLOOKUP(A1,InvoicesData!$A$1:$DZU$1000000,1576,FALSE)</f>
        <v>#N/A</v>
      </c>
      <c r="L93" t="e">
        <f>VLOOKUP(A1,InvoicesData!$A$1:$DZU$1000000,1577,FALSE)</f>
        <v>#N/A</v>
      </c>
      <c r="M93" t="e">
        <f>VLOOKUP(A1,InvoicesData!$A$1:$DZU$1000000,1578,FALSE)</f>
        <v>#N/A</v>
      </c>
      <c r="N93" t="e">
        <f>VLOOKUP(A1,InvoicesData!$A$1:$DZU$1000000,1579,FALSE)</f>
        <v>#N/A</v>
      </c>
      <c r="O93" t="e">
        <f>VLOOKUP(A1,InvoicesData!$A$1:$DZU$1000000,1580,FALSE)</f>
        <v>#N/A</v>
      </c>
      <c r="P93" t="e">
        <f>VLOOKUP(A1,InvoicesData!$A$1:$DZU$1000000,1581,FALSE)</f>
        <v>#N/A</v>
      </c>
      <c r="Q93" t="e">
        <f>VLOOKUP(A1,InvoicesData!$A$1:$DZU$1000000,1582,FALSE)</f>
        <v>#N/A</v>
      </c>
    </row>
    <row r="94" spans="1:17">
      <c r="A94" t="e">
        <f>VLOOKUP(A1,InvoicesData!$A$1:$DZU$1000000,1583,FALSE)</f>
        <v>#N/A</v>
      </c>
      <c r="B94" t="e">
        <f>VLOOKUP(A1,InvoicesData!$A$1:$DZU$1000000,1584,FALSE)</f>
        <v>#N/A</v>
      </c>
      <c r="C94" t="e">
        <f>VLOOKUP(A1,InvoicesData!$A$1:$DZU$1000000,1585,FALSE)</f>
        <v>#N/A</v>
      </c>
      <c r="D94" t="e">
        <f>VLOOKUP(A1,InvoicesData!$A$1:$DZU$1000000,1586,FALSE)</f>
        <v>#N/A</v>
      </c>
      <c r="E94" t="e">
        <f>VLOOKUP(A1,InvoicesData!$A$1:$DZU$1000000,1587,FALSE)</f>
        <v>#N/A</v>
      </c>
      <c r="F94" t="e">
        <f>VLOOKUP(A1,InvoicesData!$A$1:$DZU$1000000,1588,FALSE)</f>
        <v>#N/A</v>
      </c>
      <c r="G94" t="e">
        <f>VLOOKUP(A1,InvoicesData!$A$1:$DZU$1000000,1589,FALSE)</f>
        <v>#N/A</v>
      </c>
      <c r="H94" t="e">
        <f>VLOOKUP(A1,InvoicesData!$A$1:$DZU$1000000,1590,FALSE)</f>
        <v>#N/A</v>
      </c>
      <c r="I94" t="e">
        <f>VLOOKUP(A1,InvoicesData!$A$1:$DZU$1000000,1591,FALSE)</f>
        <v>#N/A</v>
      </c>
      <c r="J94" t="e">
        <f>VLOOKUP(A1,InvoicesData!$A$1:$DZU$1000000,1592,FALSE)</f>
        <v>#N/A</v>
      </c>
      <c r="K94" t="e">
        <f>VLOOKUP(A1,InvoicesData!$A$1:$DZU$1000000,1593,FALSE)</f>
        <v>#N/A</v>
      </c>
      <c r="L94" t="e">
        <f>VLOOKUP(A1,InvoicesData!$A$1:$DZU$1000000,1594,FALSE)</f>
        <v>#N/A</v>
      </c>
      <c r="M94" t="e">
        <f>VLOOKUP(A1,InvoicesData!$A$1:$DZU$1000000,1595,FALSE)</f>
        <v>#N/A</v>
      </c>
      <c r="N94" t="e">
        <f>VLOOKUP(A1,InvoicesData!$A$1:$DZU$1000000,1596,FALSE)</f>
        <v>#N/A</v>
      </c>
      <c r="O94" t="e">
        <f>VLOOKUP(A1,InvoicesData!$A$1:$DZU$1000000,1597,FALSE)</f>
        <v>#N/A</v>
      </c>
      <c r="P94" t="e">
        <f>VLOOKUP(A1,InvoicesData!$A$1:$DZU$1000000,1598,FALSE)</f>
        <v>#N/A</v>
      </c>
      <c r="Q94" t="e">
        <f>VLOOKUP(A1,InvoicesData!$A$1:$DZU$1000000,1599,FALSE)</f>
        <v>#N/A</v>
      </c>
    </row>
    <row r="95" spans="1:17">
      <c r="A95" t="e">
        <f>VLOOKUP(A1,InvoicesData!$A$1:$DZU$1000000,1600,FALSE)</f>
        <v>#N/A</v>
      </c>
      <c r="B95" t="e">
        <f>VLOOKUP(A1,InvoicesData!$A$1:$DZU$1000000,1601,FALSE)</f>
        <v>#N/A</v>
      </c>
      <c r="C95" t="e">
        <f>VLOOKUP(A1,InvoicesData!$A$1:$DZU$1000000,1602,FALSE)</f>
        <v>#N/A</v>
      </c>
      <c r="D95" t="e">
        <f>VLOOKUP(A1,InvoicesData!$A$1:$DZU$1000000,1603,FALSE)</f>
        <v>#N/A</v>
      </c>
      <c r="E95" t="e">
        <f>VLOOKUP(A1,InvoicesData!$A$1:$DZU$1000000,1604,FALSE)</f>
        <v>#N/A</v>
      </c>
      <c r="F95" t="e">
        <f>VLOOKUP(A1,InvoicesData!$A$1:$DZU$1000000,1605,FALSE)</f>
        <v>#N/A</v>
      </c>
      <c r="G95" t="e">
        <f>VLOOKUP(A1,InvoicesData!$A$1:$DZU$1000000,1606,FALSE)</f>
        <v>#N/A</v>
      </c>
      <c r="H95" t="e">
        <f>VLOOKUP(A1,InvoicesData!$A$1:$DZU$1000000,1607,FALSE)</f>
        <v>#N/A</v>
      </c>
      <c r="I95" t="e">
        <f>VLOOKUP(A1,InvoicesData!$A$1:$DZU$1000000,1608,FALSE)</f>
        <v>#N/A</v>
      </c>
      <c r="J95" t="e">
        <f>VLOOKUP(A1,InvoicesData!$A$1:$DZU$1000000,1609,FALSE)</f>
        <v>#N/A</v>
      </c>
      <c r="K95" t="e">
        <f>VLOOKUP(A1,InvoicesData!$A$1:$DZU$1000000,1610,FALSE)</f>
        <v>#N/A</v>
      </c>
      <c r="L95" t="e">
        <f>VLOOKUP(A1,InvoicesData!$A$1:$DZU$1000000,1611,FALSE)</f>
        <v>#N/A</v>
      </c>
      <c r="M95" t="e">
        <f>VLOOKUP(A1,InvoicesData!$A$1:$DZU$1000000,1612,FALSE)</f>
        <v>#N/A</v>
      </c>
      <c r="N95" t="e">
        <f>VLOOKUP(A1,InvoicesData!$A$1:$DZU$1000000,1613,FALSE)</f>
        <v>#N/A</v>
      </c>
      <c r="O95" t="e">
        <f>VLOOKUP(A1,InvoicesData!$A$1:$DZU$1000000,1614,FALSE)</f>
        <v>#N/A</v>
      </c>
      <c r="P95" t="e">
        <f>VLOOKUP(A1,InvoicesData!$A$1:$DZU$1000000,1615,FALSE)</f>
        <v>#N/A</v>
      </c>
      <c r="Q95" t="e">
        <f>VLOOKUP(A1,InvoicesData!$A$1:$DZU$1000000,1616,FALSE)</f>
        <v>#N/A</v>
      </c>
    </row>
    <row r="96" spans="1:17">
      <c r="A96" t="e">
        <f>VLOOKUP(A1,InvoicesData!$A$1:$DZU$1000000,1617,FALSE)</f>
        <v>#N/A</v>
      </c>
      <c r="B96" t="e">
        <f>VLOOKUP(A1,InvoicesData!$A$1:$DZU$1000000,1618,FALSE)</f>
        <v>#N/A</v>
      </c>
      <c r="C96" t="e">
        <f>VLOOKUP(A1,InvoicesData!$A$1:$DZU$1000000,1619,FALSE)</f>
        <v>#N/A</v>
      </c>
      <c r="D96" t="e">
        <f>VLOOKUP(A1,InvoicesData!$A$1:$DZU$1000000,1620,FALSE)</f>
        <v>#N/A</v>
      </c>
      <c r="E96" t="e">
        <f>VLOOKUP(A1,InvoicesData!$A$1:$DZU$1000000,1621,FALSE)</f>
        <v>#N/A</v>
      </c>
      <c r="F96" t="e">
        <f>VLOOKUP(A1,InvoicesData!$A$1:$DZU$1000000,1622,FALSE)</f>
        <v>#N/A</v>
      </c>
      <c r="G96" t="e">
        <f>VLOOKUP(A1,InvoicesData!$A$1:$DZU$1000000,1623,FALSE)</f>
        <v>#N/A</v>
      </c>
      <c r="H96" t="e">
        <f>VLOOKUP(A1,InvoicesData!$A$1:$DZU$1000000,1624,FALSE)</f>
        <v>#N/A</v>
      </c>
      <c r="I96" t="e">
        <f>VLOOKUP(A1,InvoicesData!$A$1:$DZU$1000000,1625,FALSE)</f>
        <v>#N/A</v>
      </c>
      <c r="J96" t="e">
        <f>VLOOKUP(A1,InvoicesData!$A$1:$DZU$1000000,1626,FALSE)</f>
        <v>#N/A</v>
      </c>
      <c r="K96" t="e">
        <f>VLOOKUP(A1,InvoicesData!$A$1:$DZU$1000000,1627,FALSE)</f>
        <v>#N/A</v>
      </c>
      <c r="L96" t="e">
        <f>VLOOKUP(A1,InvoicesData!$A$1:$DZU$1000000,1628,FALSE)</f>
        <v>#N/A</v>
      </c>
      <c r="M96" t="e">
        <f>VLOOKUP(A1,InvoicesData!$A$1:$DZU$1000000,1629,FALSE)</f>
        <v>#N/A</v>
      </c>
      <c r="N96" t="e">
        <f>VLOOKUP(A1,InvoicesData!$A$1:$DZU$1000000,1630,FALSE)</f>
        <v>#N/A</v>
      </c>
      <c r="O96" t="e">
        <f>VLOOKUP(A1,InvoicesData!$A$1:$DZU$1000000,1631,FALSE)</f>
        <v>#N/A</v>
      </c>
      <c r="P96" t="e">
        <f>VLOOKUP(A1,InvoicesData!$A$1:$DZU$1000000,1632,FALSE)</f>
        <v>#N/A</v>
      </c>
      <c r="Q96" t="e">
        <f>VLOOKUP(A1,InvoicesData!$A$1:$DZU$1000000,1633,FALSE)</f>
        <v>#N/A</v>
      </c>
    </row>
    <row r="97" spans="1:17">
      <c r="A97" t="e">
        <f>VLOOKUP(A1,InvoicesData!$A$1:$DZU$1000000,1634,FALSE)</f>
        <v>#N/A</v>
      </c>
      <c r="B97" t="e">
        <f>VLOOKUP(A1,InvoicesData!$A$1:$DZU$1000000,1635,FALSE)</f>
        <v>#N/A</v>
      </c>
      <c r="C97" t="e">
        <f>VLOOKUP(A1,InvoicesData!$A$1:$DZU$1000000,1636,FALSE)</f>
        <v>#N/A</v>
      </c>
      <c r="D97" t="e">
        <f>VLOOKUP(A1,InvoicesData!$A$1:$DZU$1000000,1637,FALSE)</f>
        <v>#N/A</v>
      </c>
      <c r="E97" t="e">
        <f>VLOOKUP(A1,InvoicesData!$A$1:$DZU$1000000,1638,FALSE)</f>
        <v>#N/A</v>
      </c>
      <c r="F97" t="e">
        <f>VLOOKUP(A1,InvoicesData!$A$1:$DZU$1000000,1639,FALSE)</f>
        <v>#N/A</v>
      </c>
      <c r="G97" t="e">
        <f>VLOOKUP(A1,InvoicesData!$A$1:$DZU$1000000,1640,FALSE)</f>
        <v>#N/A</v>
      </c>
      <c r="H97" t="e">
        <f>VLOOKUP(A1,InvoicesData!$A$1:$DZU$1000000,1641,FALSE)</f>
        <v>#N/A</v>
      </c>
      <c r="I97" t="e">
        <f>VLOOKUP(A1,InvoicesData!$A$1:$DZU$1000000,1642,FALSE)</f>
        <v>#N/A</v>
      </c>
      <c r="J97" t="e">
        <f>VLOOKUP(A1,InvoicesData!$A$1:$DZU$1000000,1643,FALSE)</f>
        <v>#N/A</v>
      </c>
      <c r="K97" t="e">
        <f>VLOOKUP(A1,InvoicesData!$A$1:$DZU$1000000,1644,FALSE)</f>
        <v>#N/A</v>
      </c>
      <c r="L97" t="e">
        <f>VLOOKUP(A1,InvoicesData!$A$1:$DZU$1000000,1645,FALSE)</f>
        <v>#N/A</v>
      </c>
      <c r="M97" t="e">
        <f>VLOOKUP(A1,InvoicesData!$A$1:$DZU$1000000,1646,FALSE)</f>
        <v>#N/A</v>
      </c>
      <c r="N97" t="e">
        <f>VLOOKUP(A1,InvoicesData!$A$1:$DZU$1000000,1647,FALSE)</f>
        <v>#N/A</v>
      </c>
      <c r="O97" t="e">
        <f>VLOOKUP(A1,InvoicesData!$A$1:$DZU$1000000,1648,FALSE)</f>
        <v>#N/A</v>
      </c>
      <c r="P97" t="e">
        <f>VLOOKUP(A1,InvoicesData!$A$1:$DZU$1000000,1649,FALSE)</f>
        <v>#N/A</v>
      </c>
      <c r="Q97" t="e">
        <f>VLOOKUP(A1,InvoicesData!$A$1:$DZU$1000000,1650,FALSE)</f>
        <v>#N/A</v>
      </c>
    </row>
    <row r="98" spans="1:17">
      <c r="A98" t="e">
        <f>VLOOKUP(A1,InvoicesData!$A$1:$DZU$1000000,1651,FALSE)</f>
        <v>#N/A</v>
      </c>
      <c r="B98" t="e">
        <f>VLOOKUP(A1,InvoicesData!$A$1:$DZU$1000000,1652,FALSE)</f>
        <v>#N/A</v>
      </c>
      <c r="C98" t="e">
        <f>VLOOKUP(A1,InvoicesData!$A$1:$DZU$1000000,1653,FALSE)</f>
        <v>#N/A</v>
      </c>
      <c r="D98" t="e">
        <f>VLOOKUP(A1,InvoicesData!$A$1:$DZU$1000000,1654,FALSE)</f>
        <v>#N/A</v>
      </c>
      <c r="E98" t="e">
        <f>VLOOKUP(A1,InvoicesData!$A$1:$DZU$1000000,1655,FALSE)</f>
        <v>#N/A</v>
      </c>
      <c r="F98" t="e">
        <f>VLOOKUP(A1,InvoicesData!$A$1:$DZU$1000000,1656,FALSE)</f>
        <v>#N/A</v>
      </c>
      <c r="G98" t="e">
        <f>VLOOKUP(A1,InvoicesData!$A$1:$DZU$1000000,1657,FALSE)</f>
        <v>#N/A</v>
      </c>
      <c r="H98" t="e">
        <f>VLOOKUP(A1,InvoicesData!$A$1:$DZU$1000000,1658,FALSE)</f>
        <v>#N/A</v>
      </c>
      <c r="I98" t="e">
        <f>VLOOKUP(A1,InvoicesData!$A$1:$DZU$1000000,1659,FALSE)</f>
        <v>#N/A</v>
      </c>
      <c r="J98" t="e">
        <f>VLOOKUP(A1,InvoicesData!$A$1:$DZU$1000000,1660,FALSE)</f>
        <v>#N/A</v>
      </c>
      <c r="K98" t="e">
        <f>VLOOKUP(A1,InvoicesData!$A$1:$DZU$1000000,1661,FALSE)</f>
        <v>#N/A</v>
      </c>
      <c r="L98" t="e">
        <f>VLOOKUP(A1,InvoicesData!$A$1:$DZU$1000000,1662,FALSE)</f>
        <v>#N/A</v>
      </c>
      <c r="M98" t="e">
        <f>VLOOKUP(A1,InvoicesData!$A$1:$DZU$1000000,1663,FALSE)</f>
        <v>#N/A</v>
      </c>
      <c r="N98" t="e">
        <f>VLOOKUP(A1,InvoicesData!$A$1:$DZU$1000000,1664,FALSE)</f>
        <v>#N/A</v>
      </c>
      <c r="O98" t="e">
        <f>VLOOKUP(A1,InvoicesData!$A$1:$DZU$1000000,1665,FALSE)</f>
        <v>#N/A</v>
      </c>
      <c r="P98" t="e">
        <f>VLOOKUP(A1,InvoicesData!$A$1:$DZU$1000000,1666,FALSE)</f>
        <v>#N/A</v>
      </c>
      <c r="Q98" t="e">
        <f>VLOOKUP(A1,InvoicesData!$A$1:$DZU$1000000,1667,FALSE)</f>
        <v>#N/A</v>
      </c>
    </row>
    <row r="99" spans="1:17">
      <c r="A99" t="e">
        <f>VLOOKUP(A1,InvoicesData!$A$1:$DZU$1000000,1668,FALSE)</f>
        <v>#N/A</v>
      </c>
      <c r="B99" t="e">
        <f>VLOOKUP(A1,InvoicesData!$A$1:$DZU$1000000,1669,FALSE)</f>
        <v>#N/A</v>
      </c>
      <c r="C99" t="e">
        <f>VLOOKUP(A1,InvoicesData!$A$1:$DZU$1000000,1670,FALSE)</f>
        <v>#N/A</v>
      </c>
      <c r="D99" t="e">
        <f>VLOOKUP(A1,InvoicesData!$A$1:$DZU$1000000,1671,FALSE)</f>
        <v>#N/A</v>
      </c>
      <c r="E99" t="e">
        <f>VLOOKUP(A1,InvoicesData!$A$1:$DZU$1000000,1672,FALSE)</f>
        <v>#N/A</v>
      </c>
      <c r="F99" t="e">
        <f>VLOOKUP(A1,InvoicesData!$A$1:$DZU$1000000,1673,FALSE)</f>
        <v>#N/A</v>
      </c>
      <c r="G99" t="e">
        <f>VLOOKUP(A1,InvoicesData!$A$1:$DZU$1000000,1674,FALSE)</f>
        <v>#N/A</v>
      </c>
      <c r="H99" t="e">
        <f>VLOOKUP(A1,InvoicesData!$A$1:$DZU$1000000,1675,FALSE)</f>
        <v>#N/A</v>
      </c>
      <c r="I99" t="e">
        <f>VLOOKUP(A1,InvoicesData!$A$1:$DZU$1000000,1676,FALSE)</f>
        <v>#N/A</v>
      </c>
      <c r="J99" t="e">
        <f>VLOOKUP(A1,InvoicesData!$A$1:$DZU$1000000,1677,FALSE)</f>
        <v>#N/A</v>
      </c>
      <c r="K99" t="e">
        <f>VLOOKUP(A1,InvoicesData!$A$1:$DZU$1000000,1678,FALSE)</f>
        <v>#N/A</v>
      </c>
      <c r="L99" t="e">
        <f>VLOOKUP(A1,InvoicesData!$A$1:$DZU$1000000,1679,FALSE)</f>
        <v>#N/A</v>
      </c>
      <c r="M99" t="e">
        <f>VLOOKUP(A1,InvoicesData!$A$1:$DZU$1000000,1680,FALSE)</f>
        <v>#N/A</v>
      </c>
      <c r="N99" t="e">
        <f>VLOOKUP(A1,InvoicesData!$A$1:$DZU$1000000,1681,FALSE)</f>
        <v>#N/A</v>
      </c>
      <c r="O99" t="e">
        <f>VLOOKUP(A1,InvoicesData!$A$1:$DZU$1000000,1682,FALSE)</f>
        <v>#N/A</v>
      </c>
      <c r="P99" t="e">
        <f>VLOOKUP(A1,InvoicesData!$A$1:$DZU$1000000,1683,FALSE)</f>
        <v>#N/A</v>
      </c>
      <c r="Q99" t="e">
        <f>VLOOKUP(A1,InvoicesData!$A$1:$DZU$1000000,1684,FALSE)</f>
        <v>#N/A</v>
      </c>
    </row>
    <row r="100" spans="1:17">
      <c r="A100" t="e">
        <f>VLOOKUP(A1,InvoicesData!$A$1:$DZU$1000000,1685,FALSE)</f>
        <v>#N/A</v>
      </c>
      <c r="B100" t="e">
        <f>VLOOKUP(A1,InvoicesData!$A$1:$DZU$1000000,1686,FALSE)</f>
        <v>#N/A</v>
      </c>
      <c r="C100" t="e">
        <f>VLOOKUP(A1,InvoicesData!$A$1:$DZU$1000000,1687,FALSE)</f>
        <v>#N/A</v>
      </c>
      <c r="D100" t="e">
        <f>VLOOKUP(A1,InvoicesData!$A$1:$DZU$1000000,1688,FALSE)</f>
        <v>#N/A</v>
      </c>
      <c r="E100" t="e">
        <f>VLOOKUP(A1,InvoicesData!$A$1:$DZU$1000000,1689,FALSE)</f>
        <v>#N/A</v>
      </c>
      <c r="F100" t="e">
        <f>VLOOKUP(A1,InvoicesData!$A$1:$DZU$1000000,1690,FALSE)</f>
        <v>#N/A</v>
      </c>
      <c r="G100" t="e">
        <f>VLOOKUP(A1,InvoicesData!$A$1:$DZU$1000000,1691,FALSE)</f>
        <v>#N/A</v>
      </c>
      <c r="H100" t="e">
        <f>VLOOKUP(A1,InvoicesData!$A$1:$DZU$1000000,1692,FALSE)</f>
        <v>#N/A</v>
      </c>
      <c r="I100" t="e">
        <f>VLOOKUP(A1,InvoicesData!$A$1:$DZU$1000000,1693,FALSE)</f>
        <v>#N/A</v>
      </c>
      <c r="J100" t="e">
        <f>VLOOKUP(A1,InvoicesData!$A$1:$DZU$1000000,1694,FALSE)</f>
        <v>#N/A</v>
      </c>
      <c r="K100" t="e">
        <f>VLOOKUP(A1,InvoicesData!$A$1:$DZU$1000000,1695,FALSE)</f>
        <v>#N/A</v>
      </c>
      <c r="L100" t="e">
        <f>VLOOKUP(A1,InvoicesData!$A$1:$DZU$1000000,1696,FALSE)</f>
        <v>#N/A</v>
      </c>
      <c r="M100" t="e">
        <f>VLOOKUP(A1,InvoicesData!$A$1:$DZU$1000000,1697,FALSE)</f>
        <v>#N/A</v>
      </c>
      <c r="N100" t="e">
        <f>VLOOKUP(A1,InvoicesData!$A$1:$DZU$1000000,1698,FALSE)</f>
        <v>#N/A</v>
      </c>
      <c r="O100" t="e">
        <f>VLOOKUP(A1,InvoicesData!$A$1:$DZU$1000000,1699,FALSE)</f>
        <v>#N/A</v>
      </c>
      <c r="P100" t="e">
        <f>VLOOKUP(A1,InvoicesData!$A$1:$DZU$1000000,1700,FALSE)</f>
        <v>#N/A</v>
      </c>
      <c r="Q100" t="e">
        <f>VLOOKUP(A1,InvoicesData!$A$1:$DZU$1000000,1701,FALSE)</f>
        <v>#N/A</v>
      </c>
    </row>
    <row r="101" spans="1:17">
      <c r="A101" t="e">
        <f>VLOOKUP(A1,InvoicesData!$A$1:$DZU$1000000,1702,FALSE)</f>
        <v>#N/A</v>
      </c>
      <c r="B101" t="e">
        <f>VLOOKUP(A1,InvoicesData!$A$1:$DZU$1000000,1703,FALSE)</f>
        <v>#N/A</v>
      </c>
      <c r="C101" t="e">
        <f>VLOOKUP(A1,InvoicesData!$A$1:$DZU$1000000,1704,FALSE)</f>
        <v>#N/A</v>
      </c>
      <c r="D101" t="e">
        <f>VLOOKUP(A1,InvoicesData!$A$1:$DZU$1000000,1705,FALSE)</f>
        <v>#N/A</v>
      </c>
      <c r="E101" t="e">
        <f>VLOOKUP(A1,InvoicesData!$A$1:$DZU$1000000,1706,FALSE)</f>
        <v>#N/A</v>
      </c>
      <c r="F101" t="e">
        <f>VLOOKUP(A1,InvoicesData!$A$1:$DZU$1000000,1707,FALSE)</f>
        <v>#N/A</v>
      </c>
      <c r="G101" t="e">
        <f>VLOOKUP(A1,InvoicesData!$A$1:$DZU$1000000,1708,FALSE)</f>
        <v>#N/A</v>
      </c>
      <c r="H101" t="e">
        <f>VLOOKUP(A1,InvoicesData!$A$1:$DZU$1000000,1709,FALSE)</f>
        <v>#N/A</v>
      </c>
      <c r="I101" t="e">
        <f>VLOOKUP(A1,InvoicesData!$A$1:$DZU$1000000,1710,FALSE)</f>
        <v>#N/A</v>
      </c>
      <c r="J101" t="e">
        <f>VLOOKUP(A1,InvoicesData!$A$1:$DZU$1000000,1711,FALSE)</f>
        <v>#N/A</v>
      </c>
      <c r="K101" t="e">
        <f>VLOOKUP(A1,InvoicesData!$A$1:$DZU$1000000,1712,FALSE)</f>
        <v>#N/A</v>
      </c>
      <c r="L101" t="e">
        <f>VLOOKUP(A1,InvoicesData!$A$1:$DZU$1000000,1713,FALSE)</f>
        <v>#N/A</v>
      </c>
      <c r="M101" t="e">
        <f>VLOOKUP(A1,InvoicesData!$A$1:$DZU$1000000,1714,FALSE)</f>
        <v>#N/A</v>
      </c>
      <c r="N101" t="e">
        <f>VLOOKUP(A1,InvoicesData!$A$1:$DZU$1000000,1715,FALSE)</f>
        <v>#N/A</v>
      </c>
      <c r="O101" t="e">
        <f>VLOOKUP(A1,InvoicesData!$A$1:$DZU$1000000,1716,FALSE)</f>
        <v>#N/A</v>
      </c>
      <c r="P101" t="e">
        <f>VLOOKUP(A1,InvoicesData!$A$1:$DZU$1000000,1717,FALSE)</f>
        <v>#N/A</v>
      </c>
      <c r="Q101" t="e">
        <f>VLOOKUP(A1,InvoicesData!$A$1:$DZU$1000000,1718,FALSE)</f>
        <v>#N/A</v>
      </c>
    </row>
    <row r="102" spans="1:17">
      <c r="A102" t="e">
        <f>VLOOKUP(A1,InvoicesData!$A$1:$DZU$1000000,1719,FALSE)</f>
        <v>#N/A</v>
      </c>
      <c r="B102" t="e">
        <f>VLOOKUP(A1,InvoicesData!$A$1:$DZU$1000000,1720,FALSE)</f>
        <v>#N/A</v>
      </c>
      <c r="C102" t="e">
        <f>VLOOKUP(A1,InvoicesData!$A$1:$DZU$1000000,1721,FALSE)</f>
        <v>#N/A</v>
      </c>
      <c r="D102" t="e">
        <f>VLOOKUP(A1,InvoicesData!$A$1:$DZU$1000000,1722,FALSE)</f>
        <v>#N/A</v>
      </c>
      <c r="E102" t="e">
        <f>VLOOKUP(A1,InvoicesData!$A$1:$DZU$1000000,1723,FALSE)</f>
        <v>#N/A</v>
      </c>
      <c r="F102" t="e">
        <f>VLOOKUP(A1,InvoicesData!$A$1:$DZU$1000000,1724,FALSE)</f>
        <v>#N/A</v>
      </c>
      <c r="G102" t="e">
        <f>VLOOKUP(A1,InvoicesData!$A$1:$DZU$1000000,1725,FALSE)</f>
        <v>#N/A</v>
      </c>
      <c r="H102" t="e">
        <f>VLOOKUP(A1,InvoicesData!$A$1:$DZU$1000000,1726,FALSE)</f>
        <v>#N/A</v>
      </c>
      <c r="I102" t="e">
        <f>VLOOKUP(A1,InvoicesData!$A$1:$DZU$1000000,1727,FALSE)</f>
        <v>#N/A</v>
      </c>
      <c r="J102" t="e">
        <f>VLOOKUP(A1,InvoicesData!$A$1:$DZU$1000000,1728,FALSE)</f>
        <v>#N/A</v>
      </c>
      <c r="K102" t="e">
        <f>VLOOKUP(A1,InvoicesData!$A$1:$DZU$1000000,1729,FALSE)</f>
        <v>#N/A</v>
      </c>
      <c r="L102" t="e">
        <f>VLOOKUP(A1,InvoicesData!$A$1:$DZU$1000000,1730,FALSE)</f>
        <v>#N/A</v>
      </c>
      <c r="M102" t="e">
        <f>VLOOKUP(A1,InvoicesData!$A$1:$DZU$1000000,1731,FALSE)</f>
        <v>#N/A</v>
      </c>
      <c r="N102" t="e">
        <f>VLOOKUP(A1,InvoicesData!$A$1:$DZU$1000000,1732,FALSE)</f>
        <v>#N/A</v>
      </c>
      <c r="O102" t="e">
        <f>VLOOKUP(A1,InvoicesData!$A$1:$DZU$1000000,1733,FALSE)</f>
        <v>#N/A</v>
      </c>
      <c r="P102" t="e">
        <f>VLOOKUP(A1,InvoicesData!$A$1:$DZU$1000000,1734,FALSE)</f>
        <v>#N/A</v>
      </c>
      <c r="Q102" t="e">
        <f>VLOOKUP(A1,InvoicesData!$A$1:$DZU$1000000,1735,FALSE)</f>
        <v>#N/A</v>
      </c>
    </row>
    <row r="103" spans="1:17">
      <c r="A103" t="e">
        <f>VLOOKUP(A1,InvoicesData!$A$1:$DZU$1000000,1736,FALSE)</f>
        <v>#N/A</v>
      </c>
      <c r="B103" t="e">
        <f>VLOOKUP(A1,InvoicesData!$A$1:$DZU$1000000,1737,FALSE)</f>
        <v>#N/A</v>
      </c>
      <c r="C103" t="e">
        <f>VLOOKUP(A1,InvoicesData!$A$1:$DZU$1000000,1738,FALSE)</f>
        <v>#N/A</v>
      </c>
      <c r="D103" t="e">
        <f>VLOOKUP(A1,InvoicesData!$A$1:$DZU$1000000,1739,FALSE)</f>
        <v>#N/A</v>
      </c>
      <c r="E103" t="e">
        <f>VLOOKUP(A1,InvoicesData!$A$1:$DZU$1000000,1740,FALSE)</f>
        <v>#N/A</v>
      </c>
      <c r="F103" t="e">
        <f>VLOOKUP(A1,InvoicesData!$A$1:$DZU$1000000,1741,FALSE)</f>
        <v>#N/A</v>
      </c>
      <c r="G103" t="e">
        <f>VLOOKUP(A1,InvoicesData!$A$1:$DZU$1000000,1742,FALSE)</f>
        <v>#N/A</v>
      </c>
      <c r="H103" t="e">
        <f>VLOOKUP(A1,InvoicesData!$A$1:$DZU$1000000,1743,FALSE)</f>
        <v>#N/A</v>
      </c>
      <c r="I103" t="e">
        <f>VLOOKUP(A1,InvoicesData!$A$1:$DZU$1000000,1744,FALSE)</f>
        <v>#N/A</v>
      </c>
      <c r="J103" t="e">
        <f>VLOOKUP(A1,InvoicesData!$A$1:$DZU$1000000,1745,FALSE)</f>
        <v>#N/A</v>
      </c>
      <c r="K103" t="e">
        <f>VLOOKUP(A1,InvoicesData!$A$1:$DZU$1000000,1746,FALSE)</f>
        <v>#N/A</v>
      </c>
      <c r="L103" t="e">
        <f>VLOOKUP(A1,InvoicesData!$A$1:$DZU$1000000,1747,FALSE)</f>
        <v>#N/A</v>
      </c>
      <c r="M103" t="e">
        <f>VLOOKUP(A1,InvoicesData!$A$1:$DZU$1000000,1748,FALSE)</f>
        <v>#N/A</v>
      </c>
      <c r="N103" t="e">
        <f>VLOOKUP(A1,InvoicesData!$A$1:$DZU$1000000,1749,FALSE)</f>
        <v>#N/A</v>
      </c>
      <c r="O103" t="e">
        <f>VLOOKUP(A1,InvoicesData!$A$1:$DZU$1000000,1750,FALSE)</f>
        <v>#N/A</v>
      </c>
      <c r="P103" t="e">
        <f>VLOOKUP(A1,InvoicesData!$A$1:$DZU$1000000,1751,FALSE)</f>
        <v>#N/A</v>
      </c>
      <c r="Q103" t="e">
        <f>VLOOKUP(A1,InvoicesData!$A$1:$DZU$1000000,1752,FALSE)</f>
        <v>#N/A</v>
      </c>
    </row>
    <row r="104" spans="1:17">
      <c r="A104" t="e">
        <f>VLOOKUP(A1,InvoicesData!$A$1:$DZU$1000000,1753,FALSE)</f>
        <v>#N/A</v>
      </c>
      <c r="B104" t="e">
        <f>VLOOKUP(A1,InvoicesData!$A$1:$DZU$1000000,1754,FALSE)</f>
        <v>#N/A</v>
      </c>
      <c r="C104" t="e">
        <f>VLOOKUP(A1,InvoicesData!$A$1:$DZU$1000000,1755,FALSE)</f>
        <v>#N/A</v>
      </c>
      <c r="D104" t="e">
        <f>VLOOKUP(A1,InvoicesData!$A$1:$DZU$1000000,1756,FALSE)</f>
        <v>#N/A</v>
      </c>
      <c r="E104" t="e">
        <f>VLOOKUP(A1,InvoicesData!$A$1:$DZU$1000000,1757,FALSE)</f>
        <v>#N/A</v>
      </c>
      <c r="F104" t="e">
        <f>VLOOKUP(A1,InvoicesData!$A$1:$DZU$1000000,1758,FALSE)</f>
        <v>#N/A</v>
      </c>
      <c r="G104" t="e">
        <f>VLOOKUP(A1,InvoicesData!$A$1:$DZU$1000000,1759,FALSE)</f>
        <v>#N/A</v>
      </c>
      <c r="H104" t="e">
        <f>VLOOKUP(A1,InvoicesData!$A$1:$DZU$1000000,1760,FALSE)</f>
        <v>#N/A</v>
      </c>
      <c r="I104" t="e">
        <f>VLOOKUP(A1,InvoicesData!$A$1:$DZU$1000000,1761,FALSE)</f>
        <v>#N/A</v>
      </c>
      <c r="J104" t="e">
        <f>VLOOKUP(A1,InvoicesData!$A$1:$DZU$1000000,1762,FALSE)</f>
        <v>#N/A</v>
      </c>
      <c r="K104" t="e">
        <f>VLOOKUP(A1,InvoicesData!$A$1:$DZU$1000000,1763,FALSE)</f>
        <v>#N/A</v>
      </c>
      <c r="L104" t="e">
        <f>VLOOKUP(A1,InvoicesData!$A$1:$DZU$1000000,1764,FALSE)</f>
        <v>#N/A</v>
      </c>
      <c r="M104" t="e">
        <f>VLOOKUP(A1,InvoicesData!$A$1:$DZU$1000000,1765,FALSE)</f>
        <v>#N/A</v>
      </c>
      <c r="N104" t="e">
        <f>VLOOKUP(A1,InvoicesData!$A$1:$DZU$1000000,1766,FALSE)</f>
        <v>#N/A</v>
      </c>
      <c r="O104" t="e">
        <f>VLOOKUP(A1,InvoicesData!$A$1:$DZU$1000000,1767,FALSE)</f>
        <v>#N/A</v>
      </c>
      <c r="P104" t="e">
        <f>VLOOKUP(A1,InvoicesData!$A$1:$DZU$1000000,1768,FALSE)</f>
        <v>#N/A</v>
      </c>
      <c r="Q104" t="e">
        <f>VLOOKUP(A1,InvoicesData!$A$1:$DZU$1000000,1769,FALSE)</f>
        <v>#N/A</v>
      </c>
    </row>
    <row r="105" spans="1:17">
      <c r="A105" t="e">
        <f>VLOOKUP(A1,InvoicesData!$A$1:$DZU$1000000,1770,FALSE)</f>
        <v>#N/A</v>
      </c>
      <c r="B105" t="e">
        <f>VLOOKUP(A1,InvoicesData!$A$1:$DZU$1000000,1771,FALSE)</f>
        <v>#N/A</v>
      </c>
      <c r="C105" t="e">
        <f>VLOOKUP(A1,InvoicesData!$A$1:$DZU$1000000,1772,FALSE)</f>
        <v>#N/A</v>
      </c>
      <c r="D105" t="e">
        <f>VLOOKUP(A1,InvoicesData!$A$1:$DZU$1000000,1773,FALSE)</f>
        <v>#N/A</v>
      </c>
      <c r="E105" t="e">
        <f>VLOOKUP(A1,InvoicesData!$A$1:$DZU$1000000,1774,FALSE)</f>
        <v>#N/A</v>
      </c>
      <c r="F105" t="e">
        <f>VLOOKUP(A1,InvoicesData!$A$1:$DZU$1000000,1775,FALSE)</f>
        <v>#N/A</v>
      </c>
      <c r="G105" t="e">
        <f>VLOOKUP(A1,InvoicesData!$A$1:$DZU$1000000,1776,FALSE)</f>
        <v>#N/A</v>
      </c>
      <c r="H105" t="e">
        <f>VLOOKUP(A1,InvoicesData!$A$1:$DZU$1000000,1777,FALSE)</f>
        <v>#N/A</v>
      </c>
      <c r="I105" t="e">
        <f>VLOOKUP(A1,InvoicesData!$A$1:$DZU$1000000,1778,FALSE)</f>
        <v>#N/A</v>
      </c>
      <c r="J105" t="e">
        <f>VLOOKUP(A1,InvoicesData!$A$1:$DZU$1000000,1779,FALSE)</f>
        <v>#N/A</v>
      </c>
      <c r="K105" t="e">
        <f>VLOOKUP(A1,InvoicesData!$A$1:$DZU$1000000,1780,FALSE)</f>
        <v>#N/A</v>
      </c>
      <c r="L105" t="e">
        <f>VLOOKUP(A1,InvoicesData!$A$1:$DZU$1000000,1781,FALSE)</f>
        <v>#N/A</v>
      </c>
      <c r="M105" t="e">
        <f>VLOOKUP(A1,InvoicesData!$A$1:$DZU$1000000,1782,FALSE)</f>
        <v>#N/A</v>
      </c>
      <c r="N105" t="e">
        <f>VLOOKUP(A1,InvoicesData!$A$1:$DZU$1000000,1783,FALSE)</f>
        <v>#N/A</v>
      </c>
      <c r="O105" t="e">
        <f>VLOOKUP(A1,InvoicesData!$A$1:$DZU$1000000,1784,FALSE)</f>
        <v>#N/A</v>
      </c>
      <c r="P105" t="e">
        <f>VLOOKUP(A1,InvoicesData!$A$1:$DZU$1000000,1785,FALSE)</f>
        <v>#N/A</v>
      </c>
      <c r="Q105" t="e">
        <f>VLOOKUP(A1,InvoicesData!$A$1:$DZU$1000000,1786,FALSE)</f>
        <v>#N/A</v>
      </c>
    </row>
    <row r="106" spans="1:17">
      <c r="A106" t="e">
        <f>VLOOKUP(A1,InvoicesData!$A$1:$DZU$1000000,1787,FALSE)</f>
        <v>#N/A</v>
      </c>
      <c r="B106" t="e">
        <f>VLOOKUP(A1,InvoicesData!$A$1:$DZU$1000000,1788,FALSE)</f>
        <v>#N/A</v>
      </c>
      <c r="C106" t="e">
        <f>VLOOKUP(A1,InvoicesData!$A$1:$DZU$1000000,1789,FALSE)</f>
        <v>#N/A</v>
      </c>
      <c r="D106" t="e">
        <f>VLOOKUP(A1,InvoicesData!$A$1:$DZU$1000000,1790,FALSE)</f>
        <v>#N/A</v>
      </c>
      <c r="E106" t="e">
        <f>VLOOKUP(A1,InvoicesData!$A$1:$DZU$1000000,1791,FALSE)</f>
        <v>#N/A</v>
      </c>
      <c r="F106" t="e">
        <f>VLOOKUP(A1,InvoicesData!$A$1:$DZU$1000000,1792,FALSE)</f>
        <v>#N/A</v>
      </c>
      <c r="G106" t="e">
        <f>VLOOKUP(A1,InvoicesData!$A$1:$DZU$1000000,1793,FALSE)</f>
        <v>#N/A</v>
      </c>
      <c r="H106" t="e">
        <f>VLOOKUP(A1,InvoicesData!$A$1:$DZU$1000000,1794,FALSE)</f>
        <v>#N/A</v>
      </c>
      <c r="I106" t="e">
        <f>VLOOKUP(A1,InvoicesData!$A$1:$DZU$1000000,1795,FALSE)</f>
        <v>#N/A</v>
      </c>
      <c r="J106" t="e">
        <f>VLOOKUP(A1,InvoicesData!$A$1:$DZU$1000000,1796,FALSE)</f>
        <v>#N/A</v>
      </c>
      <c r="K106" t="e">
        <f>VLOOKUP(A1,InvoicesData!$A$1:$DZU$1000000,1797,FALSE)</f>
        <v>#N/A</v>
      </c>
      <c r="L106" t="e">
        <f>VLOOKUP(A1,InvoicesData!$A$1:$DZU$1000000,1798,FALSE)</f>
        <v>#N/A</v>
      </c>
      <c r="M106" t="e">
        <f>VLOOKUP(A1,InvoicesData!$A$1:$DZU$1000000,1799,FALSE)</f>
        <v>#N/A</v>
      </c>
      <c r="N106" t="e">
        <f>VLOOKUP(A1,InvoicesData!$A$1:$DZU$1000000,1800,FALSE)</f>
        <v>#N/A</v>
      </c>
      <c r="O106" t="e">
        <f>VLOOKUP(A1,InvoicesData!$A$1:$DZU$1000000,1801,FALSE)</f>
        <v>#N/A</v>
      </c>
      <c r="P106" t="e">
        <f>VLOOKUP(A1,InvoicesData!$A$1:$DZU$1000000,1802,FALSE)</f>
        <v>#N/A</v>
      </c>
      <c r="Q106" t="e">
        <f>VLOOKUP(A1,InvoicesData!$A$1:$DZU$1000000,1803,FALSE)</f>
        <v>#N/A</v>
      </c>
    </row>
    <row r="107" spans="1:17">
      <c r="A107" t="e">
        <f>VLOOKUP(A1,InvoicesData!$A$1:$DZU$1000000,1804,FALSE)</f>
        <v>#N/A</v>
      </c>
      <c r="B107" t="e">
        <f>VLOOKUP(A1,InvoicesData!$A$1:$DZU$1000000,1805,FALSE)</f>
        <v>#N/A</v>
      </c>
      <c r="C107" t="e">
        <f>VLOOKUP(A1,InvoicesData!$A$1:$DZU$1000000,1806,FALSE)</f>
        <v>#N/A</v>
      </c>
      <c r="D107" t="e">
        <f>VLOOKUP(A1,InvoicesData!$A$1:$DZU$1000000,1807,FALSE)</f>
        <v>#N/A</v>
      </c>
      <c r="E107" t="e">
        <f>VLOOKUP(A1,InvoicesData!$A$1:$DZU$1000000,1808,FALSE)</f>
        <v>#N/A</v>
      </c>
      <c r="F107" t="e">
        <f>VLOOKUP(A1,InvoicesData!$A$1:$DZU$1000000,1809,FALSE)</f>
        <v>#N/A</v>
      </c>
      <c r="G107" t="e">
        <f>VLOOKUP(A1,InvoicesData!$A$1:$DZU$1000000,1810,FALSE)</f>
        <v>#N/A</v>
      </c>
      <c r="H107" t="e">
        <f>VLOOKUP(A1,InvoicesData!$A$1:$DZU$1000000,1811,FALSE)</f>
        <v>#N/A</v>
      </c>
      <c r="I107" t="e">
        <f>VLOOKUP(A1,InvoicesData!$A$1:$DZU$1000000,1812,FALSE)</f>
        <v>#N/A</v>
      </c>
      <c r="J107" t="e">
        <f>VLOOKUP(A1,InvoicesData!$A$1:$DZU$1000000,1813,FALSE)</f>
        <v>#N/A</v>
      </c>
      <c r="K107" t="e">
        <f>VLOOKUP(A1,InvoicesData!$A$1:$DZU$1000000,1814,FALSE)</f>
        <v>#N/A</v>
      </c>
      <c r="L107" t="e">
        <f>VLOOKUP(A1,InvoicesData!$A$1:$DZU$1000000,1815,FALSE)</f>
        <v>#N/A</v>
      </c>
      <c r="M107" t="e">
        <f>VLOOKUP(A1,InvoicesData!$A$1:$DZU$1000000,1816,FALSE)</f>
        <v>#N/A</v>
      </c>
      <c r="N107" t="e">
        <f>VLOOKUP(A1,InvoicesData!$A$1:$DZU$1000000,1817,FALSE)</f>
        <v>#N/A</v>
      </c>
      <c r="O107" t="e">
        <f>VLOOKUP(A1,InvoicesData!$A$1:$DZU$1000000,1818,FALSE)</f>
        <v>#N/A</v>
      </c>
      <c r="P107" t="e">
        <f>VLOOKUP(A1,InvoicesData!$A$1:$DZU$1000000,1819,FALSE)</f>
        <v>#N/A</v>
      </c>
      <c r="Q107" t="e">
        <f>VLOOKUP(A1,InvoicesData!$A$1:$DZU$1000000,1820,FALSE)</f>
        <v>#N/A</v>
      </c>
    </row>
    <row r="108" spans="1:17">
      <c r="A108" t="e">
        <f>VLOOKUP(A1,InvoicesData!$A$1:$DZU$1000000,1821,FALSE)</f>
        <v>#N/A</v>
      </c>
      <c r="B108" t="e">
        <f>VLOOKUP(A1,InvoicesData!$A$1:$DZU$1000000,1822,FALSE)</f>
        <v>#N/A</v>
      </c>
      <c r="C108" t="e">
        <f>VLOOKUP(A1,InvoicesData!$A$1:$DZU$1000000,1823,FALSE)</f>
        <v>#N/A</v>
      </c>
      <c r="D108" t="e">
        <f>VLOOKUP(A1,InvoicesData!$A$1:$DZU$1000000,1824,FALSE)</f>
        <v>#N/A</v>
      </c>
      <c r="E108" t="e">
        <f>VLOOKUP(A1,InvoicesData!$A$1:$DZU$1000000,1825,FALSE)</f>
        <v>#N/A</v>
      </c>
      <c r="F108" t="e">
        <f>VLOOKUP(A1,InvoicesData!$A$1:$DZU$1000000,1826,FALSE)</f>
        <v>#N/A</v>
      </c>
      <c r="G108" t="e">
        <f>VLOOKUP(A1,InvoicesData!$A$1:$DZU$1000000,1827,FALSE)</f>
        <v>#N/A</v>
      </c>
      <c r="H108" t="e">
        <f>VLOOKUP(A1,InvoicesData!$A$1:$DZU$1000000,1828,FALSE)</f>
        <v>#N/A</v>
      </c>
      <c r="I108" t="e">
        <f>VLOOKUP(A1,InvoicesData!$A$1:$DZU$1000000,1829,FALSE)</f>
        <v>#N/A</v>
      </c>
      <c r="J108" t="e">
        <f>VLOOKUP(A1,InvoicesData!$A$1:$DZU$1000000,1830,FALSE)</f>
        <v>#N/A</v>
      </c>
      <c r="K108" t="e">
        <f>VLOOKUP(A1,InvoicesData!$A$1:$DZU$1000000,1831,FALSE)</f>
        <v>#N/A</v>
      </c>
      <c r="L108" t="e">
        <f>VLOOKUP(A1,InvoicesData!$A$1:$DZU$1000000,1832,FALSE)</f>
        <v>#N/A</v>
      </c>
      <c r="M108" t="e">
        <f>VLOOKUP(A1,InvoicesData!$A$1:$DZU$1000000,1833,FALSE)</f>
        <v>#N/A</v>
      </c>
      <c r="N108" t="e">
        <f>VLOOKUP(A1,InvoicesData!$A$1:$DZU$1000000,1834,FALSE)</f>
        <v>#N/A</v>
      </c>
      <c r="O108" t="e">
        <f>VLOOKUP(A1,InvoicesData!$A$1:$DZU$1000000,1835,FALSE)</f>
        <v>#N/A</v>
      </c>
      <c r="P108" t="e">
        <f>VLOOKUP(A1,InvoicesData!$A$1:$DZU$1000000,1836,FALSE)</f>
        <v>#N/A</v>
      </c>
      <c r="Q108" t="e">
        <f>VLOOKUP(A1,InvoicesData!$A$1:$DZU$1000000,1837,FALSE)</f>
        <v>#N/A</v>
      </c>
    </row>
    <row r="109" spans="1:17">
      <c r="A109" t="e">
        <f>VLOOKUP(A1,InvoicesData!$A$1:$DZU$1000000,1838,FALSE)</f>
        <v>#N/A</v>
      </c>
      <c r="B109" t="e">
        <f>VLOOKUP(A1,InvoicesData!$A$1:$DZU$1000000,1839,FALSE)</f>
        <v>#N/A</v>
      </c>
      <c r="C109" t="e">
        <f>VLOOKUP(A1,InvoicesData!$A$1:$DZU$1000000,1840,FALSE)</f>
        <v>#N/A</v>
      </c>
      <c r="D109" t="e">
        <f>VLOOKUP(A1,InvoicesData!$A$1:$DZU$1000000,1841,FALSE)</f>
        <v>#N/A</v>
      </c>
      <c r="E109" t="e">
        <f>VLOOKUP(A1,InvoicesData!$A$1:$DZU$1000000,1842,FALSE)</f>
        <v>#N/A</v>
      </c>
      <c r="F109" t="e">
        <f>VLOOKUP(A1,InvoicesData!$A$1:$DZU$1000000,1843,FALSE)</f>
        <v>#N/A</v>
      </c>
      <c r="G109" t="e">
        <f>VLOOKUP(A1,InvoicesData!$A$1:$DZU$1000000,1844,FALSE)</f>
        <v>#N/A</v>
      </c>
      <c r="H109" t="e">
        <f>VLOOKUP(A1,InvoicesData!$A$1:$DZU$1000000,1845,FALSE)</f>
        <v>#N/A</v>
      </c>
      <c r="I109" t="e">
        <f>VLOOKUP(A1,InvoicesData!$A$1:$DZU$1000000,1846,FALSE)</f>
        <v>#N/A</v>
      </c>
      <c r="J109" t="e">
        <f>VLOOKUP(A1,InvoicesData!$A$1:$DZU$1000000,1847,FALSE)</f>
        <v>#N/A</v>
      </c>
      <c r="K109" t="e">
        <f>VLOOKUP(A1,InvoicesData!$A$1:$DZU$1000000,1848,FALSE)</f>
        <v>#N/A</v>
      </c>
      <c r="L109" t="e">
        <f>VLOOKUP(A1,InvoicesData!$A$1:$DZU$1000000,1849,FALSE)</f>
        <v>#N/A</v>
      </c>
      <c r="M109" t="e">
        <f>VLOOKUP(A1,InvoicesData!$A$1:$DZU$1000000,1850,FALSE)</f>
        <v>#N/A</v>
      </c>
      <c r="N109" t="e">
        <f>VLOOKUP(A1,InvoicesData!$A$1:$DZU$1000000,1851,FALSE)</f>
        <v>#N/A</v>
      </c>
      <c r="O109" t="e">
        <f>VLOOKUP(A1,InvoicesData!$A$1:$DZU$1000000,1852,FALSE)</f>
        <v>#N/A</v>
      </c>
      <c r="P109" t="e">
        <f>VLOOKUP(A1,InvoicesData!$A$1:$DZU$1000000,1853,FALSE)</f>
        <v>#N/A</v>
      </c>
      <c r="Q109" t="e">
        <f>VLOOKUP(A1,InvoicesData!$A$1:$DZU$1000000,1854,FALSE)</f>
        <v>#N/A</v>
      </c>
    </row>
    <row r="110" spans="1:17">
      <c r="A110" t="e">
        <f>VLOOKUP(A1,InvoicesData!$A$1:$DZU$1000000,1855,FALSE)</f>
        <v>#N/A</v>
      </c>
      <c r="B110" t="e">
        <f>VLOOKUP(A1,InvoicesData!$A$1:$DZU$1000000,1856,FALSE)</f>
        <v>#N/A</v>
      </c>
      <c r="C110" t="e">
        <f>VLOOKUP(A1,InvoicesData!$A$1:$DZU$1000000,1857,FALSE)</f>
        <v>#N/A</v>
      </c>
      <c r="D110" t="e">
        <f>VLOOKUP(A1,InvoicesData!$A$1:$DZU$1000000,1858,FALSE)</f>
        <v>#N/A</v>
      </c>
      <c r="E110" t="e">
        <f>VLOOKUP(A1,InvoicesData!$A$1:$DZU$1000000,1859,FALSE)</f>
        <v>#N/A</v>
      </c>
      <c r="F110" t="e">
        <f>VLOOKUP(A1,InvoicesData!$A$1:$DZU$1000000,1860,FALSE)</f>
        <v>#N/A</v>
      </c>
      <c r="G110" t="e">
        <f>VLOOKUP(A1,InvoicesData!$A$1:$DZU$1000000,1861,FALSE)</f>
        <v>#N/A</v>
      </c>
      <c r="H110" t="e">
        <f>VLOOKUP(A1,InvoicesData!$A$1:$DZU$1000000,1862,FALSE)</f>
        <v>#N/A</v>
      </c>
      <c r="I110" t="e">
        <f>VLOOKUP(A1,InvoicesData!$A$1:$DZU$1000000,1863,FALSE)</f>
        <v>#N/A</v>
      </c>
      <c r="J110" t="e">
        <f>VLOOKUP(A1,InvoicesData!$A$1:$DZU$1000000,1864,FALSE)</f>
        <v>#N/A</v>
      </c>
      <c r="K110" t="e">
        <f>VLOOKUP(A1,InvoicesData!$A$1:$DZU$1000000,1865,FALSE)</f>
        <v>#N/A</v>
      </c>
      <c r="L110" t="e">
        <f>VLOOKUP(A1,InvoicesData!$A$1:$DZU$1000000,1866,FALSE)</f>
        <v>#N/A</v>
      </c>
      <c r="M110" t="e">
        <f>VLOOKUP(A1,InvoicesData!$A$1:$DZU$1000000,1867,FALSE)</f>
        <v>#N/A</v>
      </c>
      <c r="N110" t="e">
        <f>VLOOKUP(A1,InvoicesData!$A$1:$DZU$1000000,1868,FALSE)</f>
        <v>#N/A</v>
      </c>
      <c r="O110" t="e">
        <f>VLOOKUP(A1,InvoicesData!$A$1:$DZU$1000000,1869,FALSE)</f>
        <v>#N/A</v>
      </c>
      <c r="P110" t="e">
        <f>VLOOKUP(A1,InvoicesData!$A$1:$DZU$1000000,1870,FALSE)</f>
        <v>#N/A</v>
      </c>
      <c r="Q110" t="e">
        <f>VLOOKUP(A1,InvoicesData!$A$1:$DZU$1000000,1871,FALSE)</f>
        <v>#N/A</v>
      </c>
    </row>
    <row r="111" spans="1:17">
      <c r="A111" t="e">
        <f>VLOOKUP(A1,InvoicesData!$A$1:$DZU$1000000,1872,FALSE)</f>
        <v>#N/A</v>
      </c>
      <c r="B111" t="e">
        <f>VLOOKUP(A1,InvoicesData!$A$1:$DZU$1000000,1873,FALSE)</f>
        <v>#N/A</v>
      </c>
      <c r="C111" t="e">
        <f>VLOOKUP(A1,InvoicesData!$A$1:$DZU$1000000,1874,FALSE)</f>
        <v>#N/A</v>
      </c>
      <c r="D111" t="e">
        <f>VLOOKUP(A1,InvoicesData!$A$1:$DZU$1000000,1875,FALSE)</f>
        <v>#N/A</v>
      </c>
      <c r="E111" t="e">
        <f>VLOOKUP(A1,InvoicesData!$A$1:$DZU$1000000,1876,FALSE)</f>
        <v>#N/A</v>
      </c>
      <c r="F111" t="e">
        <f>VLOOKUP(A1,InvoicesData!$A$1:$DZU$1000000,1877,FALSE)</f>
        <v>#N/A</v>
      </c>
      <c r="G111" t="e">
        <f>VLOOKUP(A1,InvoicesData!$A$1:$DZU$1000000,1878,FALSE)</f>
        <v>#N/A</v>
      </c>
      <c r="H111" t="e">
        <f>VLOOKUP(A1,InvoicesData!$A$1:$DZU$1000000,1879,FALSE)</f>
        <v>#N/A</v>
      </c>
      <c r="I111" t="e">
        <f>VLOOKUP(A1,InvoicesData!$A$1:$DZU$1000000,1880,FALSE)</f>
        <v>#N/A</v>
      </c>
      <c r="J111" t="e">
        <f>VLOOKUP(A1,InvoicesData!$A$1:$DZU$1000000,1881,FALSE)</f>
        <v>#N/A</v>
      </c>
      <c r="K111" t="e">
        <f>VLOOKUP(A1,InvoicesData!$A$1:$DZU$1000000,1882,FALSE)</f>
        <v>#N/A</v>
      </c>
      <c r="L111" t="e">
        <f>VLOOKUP(A1,InvoicesData!$A$1:$DZU$1000000,1883,FALSE)</f>
        <v>#N/A</v>
      </c>
      <c r="M111" t="e">
        <f>VLOOKUP(A1,InvoicesData!$A$1:$DZU$1000000,1884,FALSE)</f>
        <v>#N/A</v>
      </c>
      <c r="N111" t="e">
        <f>VLOOKUP(A1,InvoicesData!$A$1:$DZU$1000000,1885,FALSE)</f>
        <v>#N/A</v>
      </c>
      <c r="O111" t="e">
        <f>VLOOKUP(A1,InvoicesData!$A$1:$DZU$1000000,1886,FALSE)</f>
        <v>#N/A</v>
      </c>
      <c r="P111" t="e">
        <f>VLOOKUP(A1,InvoicesData!$A$1:$DZU$1000000,1887,FALSE)</f>
        <v>#N/A</v>
      </c>
      <c r="Q111" t="e">
        <f>VLOOKUP(A1,InvoicesData!$A$1:$DZU$1000000,1888,FALSE)</f>
        <v>#N/A</v>
      </c>
    </row>
    <row r="112" spans="1:17">
      <c r="A112" t="e">
        <f>VLOOKUP(A1,InvoicesData!$A$1:$DZU$1000000,1889,FALSE)</f>
        <v>#N/A</v>
      </c>
      <c r="B112" t="e">
        <f>VLOOKUP(A1,InvoicesData!$A$1:$DZU$1000000,1890,FALSE)</f>
        <v>#N/A</v>
      </c>
      <c r="C112" t="e">
        <f>VLOOKUP(A1,InvoicesData!$A$1:$DZU$1000000,1891,FALSE)</f>
        <v>#N/A</v>
      </c>
      <c r="D112" t="e">
        <f>VLOOKUP(A1,InvoicesData!$A$1:$DZU$1000000,1892,FALSE)</f>
        <v>#N/A</v>
      </c>
      <c r="E112" t="e">
        <f>VLOOKUP(A1,InvoicesData!$A$1:$DZU$1000000,1893,FALSE)</f>
        <v>#N/A</v>
      </c>
      <c r="F112" t="e">
        <f>VLOOKUP(A1,InvoicesData!$A$1:$DZU$1000000,1894,FALSE)</f>
        <v>#N/A</v>
      </c>
      <c r="G112" t="e">
        <f>VLOOKUP(A1,InvoicesData!$A$1:$DZU$1000000,1895,FALSE)</f>
        <v>#N/A</v>
      </c>
      <c r="H112" t="e">
        <f>VLOOKUP(A1,InvoicesData!$A$1:$DZU$1000000,1896,FALSE)</f>
        <v>#N/A</v>
      </c>
      <c r="I112" t="e">
        <f>VLOOKUP(A1,InvoicesData!$A$1:$DZU$1000000,1897,FALSE)</f>
        <v>#N/A</v>
      </c>
      <c r="J112" t="e">
        <f>VLOOKUP(A1,InvoicesData!$A$1:$DZU$1000000,1898,FALSE)</f>
        <v>#N/A</v>
      </c>
      <c r="K112" t="e">
        <f>VLOOKUP(A1,InvoicesData!$A$1:$DZU$1000000,1899,FALSE)</f>
        <v>#N/A</v>
      </c>
      <c r="L112" t="e">
        <f>VLOOKUP(A1,InvoicesData!$A$1:$DZU$1000000,1900,FALSE)</f>
        <v>#N/A</v>
      </c>
      <c r="M112" t="e">
        <f>VLOOKUP(A1,InvoicesData!$A$1:$DZU$1000000,1901,FALSE)</f>
        <v>#N/A</v>
      </c>
      <c r="N112" t="e">
        <f>VLOOKUP(A1,InvoicesData!$A$1:$DZU$1000000,1902,FALSE)</f>
        <v>#N/A</v>
      </c>
      <c r="O112" t="e">
        <f>VLOOKUP(A1,InvoicesData!$A$1:$DZU$1000000,1903,FALSE)</f>
        <v>#N/A</v>
      </c>
      <c r="P112" t="e">
        <f>VLOOKUP(A1,InvoicesData!$A$1:$DZU$1000000,1904,FALSE)</f>
        <v>#N/A</v>
      </c>
      <c r="Q112" t="e">
        <f>VLOOKUP(A1,InvoicesData!$A$1:$DZU$1000000,1905,FALSE)</f>
        <v>#N/A</v>
      </c>
    </row>
    <row r="113" spans="1:17">
      <c r="A113" t="e">
        <f>VLOOKUP(A1,InvoicesData!$A$1:$DZU$1000000,1906,FALSE)</f>
        <v>#N/A</v>
      </c>
      <c r="B113" t="e">
        <f>VLOOKUP(A1,InvoicesData!$A$1:$DZU$1000000,1907,FALSE)</f>
        <v>#N/A</v>
      </c>
      <c r="C113" t="e">
        <f>VLOOKUP(A1,InvoicesData!$A$1:$DZU$1000000,1908,FALSE)</f>
        <v>#N/A</v>
      </c>
      <c r="D113" t="e">
        <f>VLOOKUP(A1,InvoicesData!$A$1:$DZU$1000000,1909,FALSE)</f>
        <v>#N/A</v>
      </c>
      <c r="E113" t="e">
        <f>VLOOKUP(A1,InvoicesData!$A$1:$DZU$1000000,1910,FALSE)</f>
        <v>#N/A</v>
      </c>
      <c r="F113" t="e">
        <f>VLOOKUP(A1,InvoicesData!$A$1:$DZU$1000000,1911,FALSE)</f>
        <v>#N/A</v>
      </c>
      <c r="G113" t="e">
        <f>VLOOKUP(A1,InvoicesData!$A$1:$DZU$1000000,1912,FALSE)</f>
        <v>#N/A</v>
      </c>
      <c r="H113" t="e">
        <f>VLOOKUP(A1,InvoicesData!$A$1:$DZU$1000000,1913,FALSE)</f>
        <v>#N/A</v>
      </c>
      <c r="I113" t="e">
        <f>VLOOKUP(A1,InvoicesData!$A$1:$DZU$1000000,1914,FALSE)</f>
        <v>#N/A</v>
      </c>
      <c r="J113" t="e">
        <f>VLOOKUP(A1,InvoicesData!$A$1:$DZU$1000000,1915,FALSE)</f>
        <v>#N/A</v>
      </c>
      <c r="K113" t="e">
        <f>VLOOKUP(A1,InvoicesData!$A$1:$DZU$1000000,1916,FALSE)</f>
        <v>#N/A</v>
      </c>
      <c r="L113" t="e">
        <f>VLOOKUP(A1,InvoicesData!$A$1:$DZU$1000000,1917,FALSE)</f>
        <v>#N/A</v>
      </c>
      <c r="M113" t="e">
        <f>VLOOKUP(A1,InvoicesData!$A$1:$DZU$1000000,1918,FALSE)</f>
        <v>#N/A</v>
      </c>
      <c r="N113" t="e">
        <f>VLOOKUP(A1,InvoicesData!$A$1:$DZU$1000000,1919,FALSE)</f>
        <v>#N/A</v>
      </c>
      <c r="O113" t="e">
        <f>VLOOKUP(A1,InvoicesData!$A$1:$DZU$1000000,1920,FALSE)</f>
        <v>#N/A</v>
      </c>
      <c r="P113" t="e">
        <f>VLOOKUP(A1,InvoicesData!$A$1:$DZU$1000000,1921,FALSE)</f>
        <v>#N/A</v>
      </c>
      <c r="Q113" t="e">
        <f>VLOOKUP(A1,InvoicesData!$A$1:$DZU$1000000,1922,FALSE)</f>
        <v>#N/A</v>
      </c>
    </row>
    <row r="114" spans="1:17">
      <c r="A114" t="e">
        <f>VLOOKUP(A1,InvoicesData!$A$1:$DZU$1000000,1923,FALSE)</f>
        <v>#N/A</v>
      </c>
      <c r="B114" t="e">
        <f>VLOOKUP(A1,InvoicesData!$A$1:$DZU$1000000,1924,FALSE)</f>
        <v>#N/A</v>
      </c>
      <c r="C114" t="e">
        <f>VLOOKUP(A1,InvoicesData!$A$1:$DZU$1000000,1925,FALSE)</f>
        <v>#N/A</v>
      </c>
      <c r="D114" t="e">
        <f>VLOOKUP(A1,InvoicesData!$A$1:$DZU$1000000,1926,FALSE)</f>
        <v>#N/A</v>
      </c>
      <c r="E114" t="e">
        <f>VLOOKUP(A1,InvoicesData!$A$1:$DZU$1000000,1927,FALSE)</f>
        <v>#N/A</v>
      </c>
      <c r="F114" t="e">
        <f>VLOOKUP(A1,InvoicesData!$A$1:$DZU$1000000,1928,FALSE)</f>
        <v>#N/A</v>
      </c>
      <c r="G114" t="e">
        <f>VLOOKUP(A1,InvoicesData!$A$1:$DZU$1000000,1929,FALSE)</f>
        <v>#N/A</v>
      </c>
      <c r="H114" t="e">
        <f>VLOOKUP(A1,InvoicesData!$A$1:$DZU$1000000,1930,FALSE)</f>
        <v>#N/A</v>
      </c>
      <c r="I114" t="e">
        <f>VLOOKUP(A1,InvoicesData!$A$1:$DZU$1000000,1931,FALSE)</f>
        <v>#N/A</v>
      </c>
      <c r="J114" t="e">
        <f>VLOOKUP(A1,InvoicesData!$A$1:$DZU$1000000,1932,FALSE)</f>
        <v>#N/A</v>
      </c>
      <c r="K114" t="e">
        <f>VLOOKUP(A1,InvoicesData!$A$1:$DZU$1000000,1933,FALSE)</f>
        <v>#N/A</v>
      </c>
      <c r="L114" t="e">
        <f>VLOOKUP(A1,InvoicesData!$A$1:$DZU$1000000,1934,FALSE)</f>
        <v>#N/A</v>
      </c>
      <c r="M114" t="e">
        <f>VLOOKUP(A1,InvoicesData!$A$1:$DZU$1000000,1935,FALSE)</f>
        <v>#N/A</v>
      </c>
      <c r="N114" t="e">
        <f>VLOOKUP(A1,InvoicesData!$A$1:$DZU$1000000,1936,FALSE)</f>
        <v>#N/A</v>
      </c>
      <c r="O114" t="e">
        <f>VLOOKUP(A1,InvoicesData!$A$1:$DZU$1000000,1937,FALSE)</f>
        <v>#N/A</v>
      </c>
      <c r="P114" t="e">
        <f>VLOOKUP(A1,InvoicesData!$A$1:$DZU$1000000,1938,FALSE)</f>
        <v>#N/A</v>
      </c>
      <c r="Q114" t="e">
        <f>VLOOKUP(A1,InvoicesData!$A$1:$DZU$1000000,1939,FALSE)</f>
        <v>#N/A</v>
      </c>
    </row>
    <row r="115" spans="1:17">
      <c r="A115" t="e">
        <f>VLOOKUP(A1,InvoicesData!$A$1:$DZU$1000000,1940,FALSE)</f>
        <v>#N/A</v>
      </c>
      <c r="B115" t="e">
        <f>VLOOKUP(A1,InvoicesData!$A$1:$DZU$1000000,1941,FALSE)</f>
        <v>#N/A</v>
      </c>
      <c r="C115" t="e">
        <f>VLOOKUP(A1,InvoicesData!$A$1:$DZU$1000000,1942,FALSE)</f>
        <v>#N/A</v>
      </c>
      <c r="D115" t="e">
        <f>VLOOKUP(A1,InvoicesData!$A$1:$DZU$1000000,1943,FALSE)</f>
        <v>#N/A</v>
      </c>
      <c r="E115" t="e">
        <f>VLOOKUP(A1,InvoicesData!$A$1:$DZU$1000000,1944,FALSE)</f>
        <v>#N/A</v>
      </c>
      <c r="F115" t="e">
        <f>VLOOKUP(A1,InvoicesData!$A$1:$DZU$1000000,1945,FALSE)</f>
        <v>#N/A</v>
      </c>
      <c r="G115" t="e">
        <f>VLOOKUP(A1,InvoicesData!$A$1:$DZU$1000000,1946,FALSE)</f>
        <v>#N/A</v>
      </c>
      <c r="H115" t="e">
        <f>VLOOKUP(A1,InvoicesData!$A$1:$DZU$1000000,1947,FALSE)</f>
        <v>#N/A</v>
      </c>
      <c r="I115" t="e">
        <f>VLOOKUP(A1,InvoicesData!$A$1:$DZU$1000000,1948,FALSE)</f>
        <v>#N/A</v>
      </c>
      <c r="J115" t="e">
        <f>VLOOKUP(A1,InvoicesData!$A$1:$DZU$1000000,1949,FALSE)</f>
        <v>#N/A</v>
      </c>
      <c r="K115" t="e">
        <f>VLOOKUP(A1,InvoicesData!$A$1:$DZU$1000000,1950,FALSE)</f>
        <v>#N/A</v>
      </c>
      <c r="L115" t="e">
        <f>VLOOKUP(A1,InvoicesData!$A$1:$DZU$1000000,1951,FALSE)</f>
        <v>#N/A</v>
      </c>
      <c r="M115" t="e">
        <f>VLOOKUP(A1,InvoicesData!$A$1:$DZU$1000000,1952,FALSE)</f>
        <v>#N/A</v>
      </c>
      <c r="N115" t="e">
        <f>VLOOKUP(A1,InvoicesData!$A$1:$DZU$1000000,1953,FALSE)</f>
        <v>#N/A</v>
      </c>
      <c r="O115" t="e">
        <f>VLOOKUP(A1,InvoicesData!$A$1:$DZU$1000000,1954,FALSE)</f>
        <v>#N/A</v>
      </c>
      <c r="P115" t="e">
        <f>VLOOKUP(A1,InvoicesData!$A$1:$DZU$1000000,1955,FALSE)</f>
        <v>#N/A</v>
      </c>
      <c r="Q115" t="e">
        <f>VLOOKUP(A1,InvoicesData!$A$1:$DZU$1000000,1956,FALSE)</f>
        <v>#N/A</v>
      </c>
    </row>
    <row r="116" spans="1:17">
      <c r="A116" t="e">
        <f>VLOOKUP(A1,InvoicesData!$A$1:$DZU$1000000,1957,FALSE)</f>
        <v>#N/A</v>
      </c>
      <c r="B116" t="e">
        <f>VLOOKUP(A1,InvoicesData!$A$1:$DZU$1000000,1958,FALSE)</f>
        <v>#N/A</v>
      </c>
      <c r="C116" t="e">
        <f>VLOOKUP(A1,InvoicesData!$A$1:$DZU$1000000,1959,FALSE)</f>
        <v>#N/A</v>
      </c>
      <c r="D116" t="e">
        <f>VLOOKUP(A1,InvoicesData!$A$1:$DZU$1000000,1960,FALSE)</f>
        <v>#N/A</v>
      </c>
      <c r="E116" t="e">
        <f>VLOOKUP(A1,InvoicesData!$A$1:$DZU$1000000,1961,FALSE)</f>
        <v>#N/A</v>
      </c>
      <c r="F116" t="e">
        <f>VLOOKUP(A1,InvoicesData!$A$1:$DZU$1000000,1962,FALSE)</f>
        <v>#N/A</v>
      </c>
      <c r="G116" t="e">
        <f>VLOOKUP(A1,InvoicesData!$A$1:$DZU$1000000,1963,FALSE)</f>
        <v>#N/A</v>
      </c>
      <c r="H116" t="e">
        <f>VLOOKUP(A1,InvoicesData!$A$1:$DZU$1000000,1964,FALSE)</f>
        <v>#N/A</v>
      </c>
      <c r="I116" t="e">
        <f>VLOOKUP(A1,InvoicesData!$A$1:$DZU$1000000,1965,FALSE)</f>
        <v>#N/A</v>
      </c>
      <c r="J116" t="e">
        <f>VLOOKUP(A1,InvoicesData!$A$1:$DZU$1000000,1966,FALSE)</f>
        <v>#N/A</v>
      </c>
      <c r="K116" t="e">
        <f>VLOOKUP(A1,InvoicesData!$A$1:$DZU$1000000,1967,FALSE)</f>
        <v>#N/A</v>
      </c>
      <c r="L116" t="e">
        <f>VLOOKUP(A1,InvoicesData!$A$1:$DZU$1000000,1968,FALSE)</f>
        <v>#N/A</v>
      </c>
      <c r="M116" t="e">
        <f>VLOOKUP(A1,InvoicesData!$A$1:$DZU$1000000,1969,FALSE)</f>
        <v>#N/A</v>
      </c>
      <c r="N116" t="e">
        <f>VLOOKUP(A1,InvoicesData!$A$1:$DZU$1000000,1970,FALSE)</f>
        <v>#N/A</v>
      </c>
      <c r="O116" t="e">
        <f>VLOOKUP(A1,InvoicesData!$A$1:$DZU$1000000,1971,FALSE)</f>
        <v>#N/A</v>
      </c>
      <c r="P116" t="e">
        <f>VLOOKUP(A1,InvoicesData!$A$1:$DZU$1000000,1972,FALSE)</f>
        <v>#N/A</v>
      </c>
      <c r="Q116" t="e">
        <f>VLOOKUP(A1,InvoicesData!$A$1:$DZU$1000000,1973,FALSE)</f>
        <v>#N/A</v>
      </c>
    </row>
    <row r="117" spans="1:17">
      <c r="A117" t="e">
        <f>VLOOKUP(A1,InvoicesData!$A$1:$DZU$1000000,1974,FALSE)</f>
        <v>#N/A</v>
      </c>
      <c r="B117" t="e">
        <f>VLOOKUP(A1,InvoicesData!$A$1:$DZU$1000000,1975,FALSE)</f>
        <v>#N/A</v>
      </c>
      <c r="C117" t="e">
        <f>VLOOKUP(A1,InvoicesData!$A$1:$DZU$1000000,1976,FALSE)</f>
        <v>#N/A</v>
      </c>
      <c r="D117" t="e">
        <f>VLOOKUP(A1,InvoicesData!$A$1:$DZU$1000000,1977,FALSE)</f>
        <v>#N/A</v>
      </c>
      <c r="E117" t="e">
        <f>VLOOKUP(A1,InvoicesData!$A$1:$DZU$1000000,1978,FALSE)</f>
        <v>#N/A</v>
      </c>
      <c r="F117" t="e">
        <f>VLOOKUP(A1,InvoicesData!$A$1:$DZU$1000000,1979,FALSE)</f>
        <v>#N/A</v>
      </c>
      <c r="G117" t="e">
        <f>VLOOKUP(A1,InvoicesData!$A$1:$DZU$1000000,1980,FALSE)</f>
        <v>#N/A</v>
      </c>
      <c r="H117" t="e">
        <f>VLOOKUP(A1,InvoicesData!$A$1:$DZU$1000000,1981,FALSE)</f>
        <v>#N/A</v>
      </c>
      <c r="I117" t="e">
        <f>VLOOKUP(A1,InvoicesData!$A$1:$DZU$1000000,1982,FALSE)</f>
        <v>#N/A</v>
      </c>
      <c r="J117" t="e">
        <f>VLOOKUP(A1,InvoicesData!$A$1:$DZU$1000000,1983,FALSE)</f>
        <v>#N/A</v>
      </c>
      <c r="K117" t="e">
        <f>VLOOKUP(A1,InvoicesData!$A$1:$DZU$1000000,1984,FALSE)</f>
        <v>#N/A</v>
      </c>
      <c r="L117" t="e">
        <f>VLOOKUP(A1,InvoicesData!$A$1:$DZU$1000000,1985,FALSE)</f>
        <v>#N/A</v>
      </c>
      <c r="M117" t="e">
        <f>VLOOKUP(A1,InvoicesData!$A$1:$DZU$1000000,1986,FALSE)</f>
        <v>#N/A</v>
      </c>
      <c r="N117" t="e">
        <f>VLOOKUP(A1,InvoicesData!$A$1:$DZU$1000000,1987,FALSE)</f>
        <v>#N/A</v>
      </c>
      <c r="O117" t="e">
        <f>VLOOKUP(A1,InvoicesData!$A$1:$DZU$1000000,1988,FALSE)</f>
        <v>#N/A</v>
      </c>
      <c r="P117" t="e">
        <f>VLOOKUP(A1,InvoicesData!$A$1:$DZU$1000000,1989,FALSE)</f>
        <v>#N/A</v>
      </c>
      <c r="Q117" t="e">
        <f>VLOOKUP(A1,InvoicesData!$A$1:$DZU$1000000,1990,FALSE)</f>
        <v>#N/A</v>
      </c>
    </row>
    <row r="118" spans="1:17">
      <c r="A118" t="e">
        <f>VLOOKUP(A1,InvoicesData!$A$1:$DZU$1000000,1991,FALSE)</f>
        <v>#N/A</v>
      </c>
      <c r="B118" t="e">
        <f>VLOOKUP(A1,InvoicesData!$A$1:$DZU$1000000,1992,FALSE)</f>
        <v>#N/A</v>
      </c>
      <c r="C118" t="e">
        <f>VLOOKUP(A1,InvoicesData!$A$1:$DZU$1000000,1993,FALSE)</f>
        <v>#N/A</v>
      </c>
      <c r="D118" t="e">
        <f>VLOOKUP(A1,InvoicesData!$A$1:$DZU$1000000,1994,FALSE)</f>
        <v>#N/A</v>
      </c>
      <c r="E118" t="e">
        <f>VLOOKUP(A1,InvoicesData!$A$1:$DZU$1000000,1995,FALSE)</f>
        <v>#N/A</v>
      </c>
      <c r="F118" t="e">
        <f>VLOOKUP(A1,InvoicesData!$A$1:$DZU$1000000,1996,FALSE)</f>
        <v>#N/A</v>
      </c>
      <c r="G118" t="e">
        <f>VLOOKUP(A1,InvoicesData!$A$1:$DZU$1000000,1997,FALSE)</f>
        <v>#N/A</v>
      </c>
      <c r="H118" t="e">
        <f>VLOOKUP(A1,InvoicesData!$A$1:$DZU$1000000,1998,FALSE)</f>
        <v>#N/A</v>
      </c>
      <c r="I118" t="e">
        <f>VLOOKUP(A1,InvoicesData!$A$1:$DZU$1000000,1999,FALSE)</f>
        <v>#N/A</v>
      </c>
      <c r="J118" t="e">
        <f>VLOOKUP(A1,InvoicesData!$A$1:$DZU$1000000,2000,FALSE)</f>
        <v>#N/A</v>
      </c>
      <c r="K118" t="e">
        <f>VLOOKUP(A1,InvoicesData!$A$1:$DZU$1000000,2001,FALSE)</f>
        <v>#N/A</v>
      </c>
      <c r="L118" t="e">
        <f>VLOOKUP(A1,InvoicesData!$A$1:$DZU$1000000,2002,FALSE)</f>
        <v>#N/A</v>
      </c>
      <c r="M118" t="e">
        <f>VLOOKUP(A1,InvoicesData!$A$1:$DZU$1000000,2003,FALSE)</f>
        <v>#N/A</v>
      </c>
      <c r="N118" t="e">
        <f>VLOOKUP(A1,InvoicesData!$A$1:$DZU$1000000,2004,FALSE)</f>
        <v>#N/A</v>
      </c>
      <c r="O118" t="e">
        <f>VLOOKUP(A1,InvoicesData!$A$1:$DZU$1000000,2005,FALSE)</f>
        <v>#N/A</v>
      </c>
      <c r="P118" t="e">
        <f>VLOOKUP(A1,InvoicesData!$A$1:$DZU$1000000,2006,FALSE)</f>
        <v>#N/A</v>
      </c>
      <c r="Q118" t="e">
        <f>VLOOKUP(A1,InvoicesData!$A$1:$DZU$1000000,2007,FALSE)</f>
        <v>#N/A</v>
      </c>
    </row>
    <row r="119" spans="1:17">
      <c r="A119" t="e">
        <f>VLOOKUP(A1,InvoicesData!$A$1:$DZU$1000000,2008,FALSE)</f>
        <v>#N/A</v>
      </c>
      <c r="B119" t="e">
        <f>VLOOKUP(A1,InvoicesData!$A$1:$DZU$1000000,2009,FALSE)</f>
        <v>#N/A</v>
      </c>
      <c r="C119" t="e">
        <f>VLOOKUP(A1,InvoicesData!$A$1:$DZU$1000000,2010,FALSE)</f>
        <v>#N/A</v>
      </c>
      <c r="D119" t="e">
        <f>VLOOKUP(A1,InvoicesData!$A$1:$DZU$1000000,2011,FALSE)</f>
        <v>#N/A</v>
      </c>
      <c r="E119" t="e">
        <f>VLOOKUP(A1,InvoicesData!$A$1:$DZU$1000000,2012,FALSE)</f>
        <v>#N/A</v>
      </c>
      <c r="F119" t="e">
        <f>VLOOKUP(A1,InvoicesData!$A$1:$DZU$1000000,2013,FALSE)</f>
        <v>#N/A</v>
      </c>
      <c r="G119" t="e">
        <f>VLOOKUP(A1,InvoicesData!$A$1:$DZU$1000000,2014,FALSE)</f>
        <v>#N/A</v>
      </c>
      <c r="H119" t="e">
        <f>VLOOKUP(A1,InvoicesData!$A$1:$DZU$1000000,2015,FALSE)</f>
        <v>#N/A</v>
      </c>
      <c r="I119" t="e">
        <f>VLOOKUP(A1,InvoicesData!$A$1:$DZU$1000000,2016,FALSE)</f>
        <v>#N/A</v>
      </c>
      <c r="J119" t="e">
        <f>VLOOKUP(A1,InvoicesData!$A$1:$DZU$1000000,2017,FALSE)</f>
        <v>#N/A</v>
      </c>
      <c r="K119" t="e">
        <f>VLOOKUP(A1,InvoicesData!$A$1:$DZU$1000000,2018,FALSE)</f>
        <v>#N/A</v>
      </c>
      <c r="L119" t="e">
        <f>VLOOKUP(A1,InvoicesData!$A$1:$DZU$1000000,2019,FALSE)</f>
        <v>#N/A</v>
      </c>
      <c r="M119" t="e">
        <f>VLOOKUP(A1,InvoicesData!$A$1:$DZU$1000000,2020,FALSE)</f>
        <v>#N/A</v>
      </c>
      <c r="N119" t="e">
        <f>VLOOKUP(A1,InvoicesData!$A$1:$DZU$1000000,2021,FALSE)</f>
        <v>#N/A</v>
      </c>
      <c r="O119" t="e">
        <f>VLOOKUP(A1,InvoicesData!$A$1:$DZU$1000000,2022,FALSE)</f>
        <v>#N/A</v>
      </c>
      <c r="P119" t="e">
        <f>VLOOKUP(A1,InvoicesData!$A$1:$DZU$1000000,2023,FALSE)</f>
        <v>#N/A</v>
      </c>
      <c r="Q119" t="e">
        <f>VLOOKUP(A1,InvoicesData!$A$1:$DZU$1000000,2024,FALSE)</f>
        <v>#N/A</v>
      </c>
    </row>
    <row r="120" spans="1:17">
      <c r="A120" t="e">
        <f>VLOOKUP(A1,InvoicesData!$A$1:$DZU$1000000,2025,FALSE)</f>
        <v>#N/A</v>
      </c>
      <c r="B120" t="e">
        <f>VLOOKUP(A1,InvoicesData!$A$1:$DZU$1000000,2026,FALSE)</f>
        <v>#N/A</v>
      </c>
      <c r="C120" t="e">
        <f>VLOOKUP(A1,InvoicesData!$A$1:$DZU$1000000,2027,FALSE)</f>
        <v>#N/A</v>
      </c>
      <c r="D120" t="e">
        <f>VLOOKUP(A1,InvoicesData!$A$1:$DZU$1000000,2028,FALSE)</f>
        <v>#N/A</v>
      </c>
      <c r="E120" t="e">
        <f>VLOOKUP(A1,InvoicesData!$A$1:$DZU$1000000,2029,FALSE)</f>
        <v>#N/A</v>
      </c>
      <c r="F120" t="e">
        <f>VLOOKUP(A1,InvoicesData!$A$1:$DZU$1000000,2030,FALSE)</f>
        <v>#N/A</v>
      </c>
      <c r="G120" t="e">
        <f>VLOOKUP(A1,InvoicesData!$A$1:$DZU$1000000,2031,FALSE)</f>
        <v>#N/A</v>
      </c>
      <c r="H120" t="e">
        <f>VLOOKUP(A1,InvoicesData!$A$1:$DZU$1000000,2032,FALSE)</f>
        <v>#N/A</v>
      </c>
      <c r="I120" t="e">
        <f>VLOOKUP(A1,InvoicesData!$A$1:$DZU$1000000,2033,FALSE)</f>
        <v>#N/A</v>
      </c>
      <c r="J120" t="e">
        <f>VLOOKUP(A1,InvoicesData!$A$1:$DZU$1000000,2034,FALSE)</f>
        <v>#N/A</v>
      </c>
      <c r="K120" t="e">
        <f>VLOOKUP(A1,InvoicesData!$A$1:$DZU$1000000,2035,FALSE)</f>
        <v>#N/A</v>
      </c>
      <c r="L120" t="e">
        <f>VLOOKUP(A1,InvoicesData!$A$1:$DZU$1000000,2036,FALSE)</f>
        <v>#N/A</v>
      </c>
      <c r="M120" t="e">
        <f>VLOOKUP(A1,InvoicesData!$A$1:$DZU$1000000,2037,FALSE)</f>
        <v>#N/A</v>
      </c>
      <c r="N120" t="e">
        <f>VLOOKUP(A1,InvoicesData!$A$1:$DZU$1000000,2038,FALSE)</f>
        <v>#N/A</v>
      </c>
      <c r="O120" t="e">
        <f>VLOOKUP(A1,InvoicesData!$A$1:$DZU$1000000,2039,FALSE)</f>
        <v>#N/A</v>
      </c>
      <c r="P120" t="e">
        <f>VLOOKUP(A1,InvoicesData!$A$1:$DZU$1000000,2040,FALSE)</f>
        <v>#N/A</v>
      </c>
      <c r="Q120" t="e">
        <f>VLOOKUP(A1,InvoicesData!$A$1:$DZU$1000000,2041,FALSE)</f>
        <v>#N/A</v>
      </c>
    </row>
    <row r="121" spans="1:17">
      <c r="A121" t="e">
        <f>VLOOKUP(A1,InvoicesData!$A$1:$DZU$1000000,2042,FALSE)</f>
        <v>#N/A</v>
      </c>
      <c r="B121" t="e">
        <f>VLOOKUP(A1,InvoicesData!$A$1:$DZU$1000000,2043,FALSE)</f>
        <v>#N/A</v>
      </c>
      <c r="C121" t="e">
        <f>VLOOKUP(A1,InvoicesData!$A$1:$DZU$1000000,2044,FALSE)</f>
        <v>#N/A</v>
      </c>
      <c r="D121" t="e">
        <f>VLOOKUP(A1,InvoicesData!$A$1:$DZU$1000000,2045,FALSE)</f>
        <v>#N/A</v>
      </c>
      <c r="E121" t="e">
        <f>VLOOKUP(A1,InvoicesData!$A$1:$DZU$1000000,2046,FALSE)</f>
        <v>#N/A</v>
      </c>
      <c r="F121" t="e">
        <f>VLOOKUP(A1,InvoicesData!$A$1:$DZU$1000000,2047,FALSE)</f>
        <v>#N/A</v>
      </c>
      <c r="G121" t="e">
        <f>VLOOKUP(A1,InvoicesData!$A$1:$DZU$1000000,2048,FALSE)</f>
        <v>#N/A</v>
      </c>
      <c r="H121" t="e">
        <f>VLOOKUP(A1,InvoicesData!$A$1:$DZU$1000000,2049,FALSE)</f>
        <v>#N/A</v>
      </c>
      <c r="I121" t="e">
        <f>VLOOKUP(A1,InvoicesData!$A$1:$DZU$1000000,2050,FALSE)</f>
        <v>#N/A</v>
      </c>
      <c r="J121" t="e">
        <f>VLOOKUP(A1,InvoicesData!$A$1:$DZU$1000000,2051,FALSE)</f>
        <v>#N/A</v>
      </c>
      <c r="K121" t="e">
        <f>VLOOKUP(A1,InvoicesData!$A$1:$DZU$1000000,2052,FALSE)</f>
        <v>#N/A</v>
      </c>
      <c r="L121" t="e">
        <f>VLOOKUP(A1,InvoicesData!$A$1:$DZU$1000000,2053,FALSE)</f>
        <v>#N/A</v>
      </c>
      <c r="M121" t="e">
        <f>VLOOKUP(A1,InvoicesData!$A$1:$DZU$1000000,2054,FALSE)</f>
        <v>#N/A</v>
      </c>
      <c r="N121" t="e">
        <f>VLOOKUP(A1,InvoicesData!$A$1:$DZU$1000000,2055,FALSE)</f>
        <v>#N/A</v>
      </c>
      <c r="O121" t="e">
        <f>VLOOKUP(A1,InvoicesData!$A$1:$DZU$1000000,2056,FALSE)</f>
        <v>#N/A</v>
      </c>
      <c r="P121" t="e">
        <f>VLOOKUP(A1,InvoicesData!$A$1:$DZU$1000000,2057,FALSE)</f>
        <v>#N/A</v>
      </c>
      <c r="Q121" t="e">
        <f>VLOOKUP(A1,InvoicesData!$A$1:$DZU$1000000,2058,FALSE)</f>
        <v>#N/A</v>
      </c>
    </row>
    <row r="122" spans="1:17">
      <c r="A122" t="e">
        <f>VLOOKUP(A1,InvoicesData!$A$1:$DZU$1000000,2059,FALSE)</f>
        <v>#N/A</v>
      </c>
      <c r="B122" t="e">
        <f>VLOOKUP(A1,InvoicesData!$A$1:$DZU$1000000,2060,FALSE)</f>
        <v>#N/A</v>
      </c>
      <c r="C122" t="e">
        <f>VLOOKUP(A1,InvoicesData!$A$1:$DZU$1000000,2061,FALSE)</f>
        <v>#N/A</v>
      </c>
      <c r="D122" t="e">
        <f>VLOOKUP(A1,InvoicesData!$A$1:$DZU$1000000,2062,FALSE)</f>
        <v>#N/A</v>
      </c>
      <c r="E122" t="e">
        <f>VLOOKUP(A1,InvoicesData!$A$1:$DZU$1000000,2063,FALSE)</f>
        <v>#N/A</v>
      </c>
      <c r="F122" t="e">
        <f>VLOOKUP(A1,InvoicesData!$A$1:$DZU$1000000,2064,FALSE)</f>
        <v>#N/A</v>
      </c>
      <c r="G122" t="e">
        <f>VLOOKUP(A1,InvoicesData!$A$1:$DZU$1000000,2065,FALSE)</f>
        <v>#N/A</v>
      </c>
      <c r="H122" t="e">
        <f>VLOOKUP(A1,InvoicesData!$A$1:$DZU$1000000,2066,FALSE)</f>
        <v>#N/A</v>
      </c>
      <c r="I122" t="e">
        <f>VLOOKUP(A1,InvoicesData!$A$1:$DZU$1000000,2067,FALSE)</f>
        <v>#N/A</v>
      </c>
      <c r="J122" t="e">
        <f>VLOOKUP(A1,InvoicesData!$A$1:$DZU$1000000,2068,FALSE)</f>
        <v>#N/A</v>
      </c>
      <c r="K122" t="e">
        <f>VLOOKUP(A1,InvoicesData!$A$1:$DZU$1000000,2069,FALSE)</f>
        <v>#N/A</v>
      </c>
      <c r="L122" t="e">
        <f>VLOOKUP(A1,InvoicesData!$A$1:$DZU$1000000,2070,FALSE)</f>
        <v>#N/A</v>
      </c>
      <c r="M122" t="e">
        <f>VLOOKUP(A1,InvoicesData!$A$1:$DZU$1000000,2071,FALSE)</f>
        <v>#N/A</v>
      </c>
      <c r="N122" t="e">
        <f>VLOOKUP(A1,InvoicesData!$A$1:$DZU$1000000,2072,FALSE)</f>
        <v>#N/A</v>
      </c>
      <c r="O122" t="e">
        <f>VLOOKUP(A1,InvoicesData!$A$1:$DZU$1000000,2073,FALSE)</f>
        <v>#N/A</v>
      </c>
      <c r="P122" t="e">
        <f>VLOOKUP(A1,InvoicesData!$A$1:$DZU$1000000,2074,FALSE)</f>
        <v>#N/A</v>
      </c>
      <c r="Q122" t="e">
        <f>VLOOKUP(A1,InvoicesData!$A$1:$DZU$1000000,2075,FALSE)</f>
        <v>#N/A</v>
      </c>
    </row>
    <row r="123" spans="1:17">
      <c r="A123" t="e">
        <f>VLOOKUP(A1,InvoicesData!$A$1:$DZU$1000000,2076,FALSE)</f>
        <v>#N/A</v>
      </c>
      <c r="B123" t="e">
        <f>VLOOKUP(A1,InvoicesData!$A$1:$DZU$1000000,2077,FALSE)</f>
        <v>#N/A</v>
      </c>
      <c r="C123" t="e">
        <f>VLOOKUP(A1,InvoicesData!$A$1:$DZU$1000000,2078,FALSE)</f>
        <v>#N/A</v>
      </c>
      <c r="D123" t="e">
        <f>VLOOKUP(A1,InvoicesData!$A$1:$DZU$1000000,2079,FALSE)</f>
        <v>#N/A</v>
      </c>
      <c r="E123" t="e">
        <f>VLOOKUP(A1,InvoicesData!$A$1:$DZU$1000000,2080,FALSE)</f>
        <v>#N/A</v>
      </c>
      <c r="F123" t="e">
        <f>VLOOKUP(A1,InvoicesData!$A$1:$DZU$1000000,2081,FALSE)</f>
        <v>#N/A</v>
      </c>
      <c r="G123" t="e">
        <f>VLOOKUP(A1,InvoicesData!$A$1:$DZU$1000000,2082,FALSE)</f>
        <v>#N/A</v>
      </c>
      <c r="H123" t="e">
        <f>VLOOKUP(A1,InvoicesData!$A$1:$DZU$1000000,2083,FALSE)</f>
        <v>#N/A</v>
      </c>
      <c r="I123" t="e">
        <f>VLOOKUP(A1,InvoicesData!$A$1:$DZU$1000000,2084,FALSE)</f>
        <v>#N/A</v>
      </c>
      <c r="J123" t="e">
        <f>VLOOKUP(A1,InvoicesData!$A$1:$DZU$1000000,2085,FALSE)</f>
        <v>#N/A</v>
      </c>
      <c r="K123" t="e">
        <f>VLOOKUP(A1,InvoicesData!$A$1:$DZU$1000000,2086,FALSE)</f>
        <v>#N/A</v>
      </c>
      <c r="L123" t="e">
        <f>VLOOKUP(A1,InvoicesData!$A$1:$DZU$1000000,2087,FALSE)</f>
        <v>#N/A</v>
      </c>
      <c r="M123" t="e">
        <f>VLOOKUP(A1,InvoicesData!$A$1:$DZU$1000000,2088,FALSE)</f>
        <v>#N/A</v>
      </c>
      <c r="N123" t="e">
        <f>VLOOKUP(A1,InvoicesData!$A$1:$DZU$1000000,2089,FALSE)</f>
        <v>#N/A</v>
      </c>
      <c r="O123" t="e">
        <f>VLOOKUP(A1,InvoicesData!$A$1:$DZU$1000000,2090,FALSE)</f>
        <v>#N/A</v>
      </c>
      <c r="P123" t="e">
        <f>VLOOKUP(A1,InvoicesData!$A$1:$DZU$1000000,2091,FALSE)</f>
        <v>#N/A</v>
      </c>
      <c r="Q123" t="e">
        <f>VLOOKUP(A1,InvoicesData!$A$1:$DZU$1000000,2092,FALSE)</f>
        <v>#N/A</v>
      </c>
    </row>
    <row r="124" spans="1:17">
      <c r="A124" t="e">
        <f>VLOOKUP(A1,InvoicesData!$A$1:$DZU$1000000,2093,FALSE)</f>
        <v>#N/A</v>
      </c>
      <c r="B124" t="e">
        <f>VLOOKUP(A1,InvoicesData!$A$1:$DZU$1000000,2094,FALSE)</f>
        <v>#N/A</v>
      </c>
      <c r="C124" t="e">
        <f>VLOOKUP(A1,InvoicesData!$A$1:$DZU$1000000,2095,FALSE)</f>
        <v>#N/A</v>
      </c>
      <c r="D124" t="e">
        <f>VLOOKUP(A1,InvoicesData!$A$1:$DZU$1000000,2096,FALSE)</f>
        <v>#N/A</v>
      </c>
      <c r="E124" t="e">
        <f>VLOOKUP(A1,InvoicesData!$A$1:$DZU$1000000,2097,FALSE)</f>
        <v>#N/A</v>
      </c>
      <c r="F124" t="e">
        <f>VLOOKUP(A1,InvoicesData!$A$1:$DZU$1000000,2098,FALSE)</f>
        <v>#N/A</v>
      </c>
      <c r="G124" t="e">
        <f>VLOOKUP(A1,InvoicesData!$A$1:$DZU$1000000,2099,FALSE)</f>
        <v>#N/A</v>
      </c>
      <c r="H124" t="e">
        <f>VLOOKUP(A1,InvoicesData!$A$1:$DZU$1000000,2100,FALSE)</f>
        <v>#N/A</v>
      </c>
      <c r="I124" t="e">
        <f>VLOOKUP(A1,InvoicesData!$A$1:$DZU$1000000,2101,FALSE)</f>
        <v>#N/A</v>
      </c>
      <c r="J124" t="e">
        <f>VLOOKUP(A1,InvoicesData!$A$1:$DZU$1000000,2102,FALSE)</f>
        <v>#N/A</v>
      </c>
      <c r="K124" t="e">
        <f>VLOOKUP(A1,InvoicesData!$A$1:$DZU$1000000,2103,FALSE)</f>
        <v>#N/A</v>
      </c>
      <c r="L124" t="e">
        <f>VLOOKUP(A1,InvoicesData!$A$1:$DZU$1000000,2104,FALSE)</f>
        <v>#N/A</v>
      </c>
      <c r="M124" t="e">
        <f>VLOOKUP(A1,InvoicesData!$A$1:$DZU$1000000,2105,FALSE)</f>
        <v>#N/A</v>
      </c>
      <c r="N124" t="e">
        <f>VLOOKUP(A1,InvoicesData!$A$1:$DZU$1000000,2106,FALSE)</f>
        <v>#N/A</v>
      </c>
      <c r="O124" t="e">
        <f>VLOOKUP(A1,InvoicesData!$A$1:$DZU$1000000,2107,FALSE)</f>
        <v>#N/A</v>
      </c>
      <c r="P124" t="e">
        <f>VLOOKUP(A1,InvoicesData!$A$1:$DZU$1000000,2108,FALSE)</f>
        <v>#N/A</v>
      </c>
      <c r="Q124" t="e">
        <f>VLOOKUP(A1,InvoicesData!$A$1:$DZU$1000000,2109,FALSE)</f>
        <v>#N/A</v>
      </c>
    </row>
    <row r="125" spans="1:17">
      <c r="A125" t="e">
        <f>VLOOKUP(A1,InvoicesData!$A$1:$DZU$1000000,2110,FALSE)</f>
        <v>#N/A</v>
      </c>
      <c r="B125" t="e">
        <f>VLOOKUP(A1,InvoicesData!$A$1:$DZU$1000000,2111,FALSE)</f>
        <v>#N/A</v>
      </c>
      <c r="C125" t="e">
        <f>VLOOKUP(A1,InvoicesData!$A$1:$DZU$1000000,2112,FALSE)</f>
        <v>#N/A</v>
      </c>
      <c r="D125" t="e">
        <f>VLOOKUP(A1,InvoicesData!$A$1:$DZU$1000000,2113,FALSE)</f>
        <v>#N/A</v>
      </c>
      <c r="E125" t="e">
        <f>VLOOKUP(A1,InvoicesData!$A$1:$DZU$1000000,2114,FALSE)</f>
        <v>#N/A</v>
      </c>
      <c r="F125" t="e">
        <f>VLOOKUP(A1,InvoicesData!$A$1:$DZU$1000000,2115,FALSE)</f>
        <v>#N/A</v>
      </c>
      <c r="G125" t="e">
        <f>VLOOKUP(A1,InvoicesData!$A$1:$DZU$1000000,2116,FALSE)</f>
        <v>#N/A</v>
      </c>
      <c r="H125" t="e">
        <f>VLOOKUP(A1,InvoicesData!$A$1:$DZU$1000000,2117,FALSE)</f>
        <v>#N/A</v>
      </c>
      <c r="I125" t="e">
        <f>VLOOKUP(A1,InvoicesData!$A$1:$DZU$1000000,2118,FALSE)</f>
        <v>#N/A</v>
      </c>
      <c r="J125" t="e">
        <f>VLOOKUP(A1,InvoicesData!$A$1:$DZU$1000000,2119,FALSE)</f>
        <v>#N/A</v>
      </c>
      <c r="K125" t="e">
        <f>VLOOKUP(A1,InvoicesData!$A$1:$DZU$1000000,2120,FALSE)</f>
        <v>#N/A</v>
      </c>
      <c r="L125" t="e">
        <f>VLOOKUP(A1,InvoicesData!$A$1:$DZU$1000000,2121,FALSE)</f>
        <v>#N/A</v>
      </c>
      <c r="M125" t="e">
        <f>VLOOKUP(A1,InvoicesData!$A$1:$DZU$1000000,2122,FALSE)</f>
        <v>#N/A</v>
      </c>
      <c r="N125" t="e">
        <f>VLOOKUP(A1,InvoicesData!$A$1:$DZU$1000000,2123,FALSE)</f>
        <v>#N/A</v>
      </c>
      <c r="O125" t="e">
        <f>VLOOKUP(A1,InvoicesData!$A$1:$DZU$1000000,2124,FALSE)</f>
        <v>#N/A</v>
      </c>
      <c r="P125" t="e">
        <f>VLOOKUP(A1,InvoicesData!$A$1:$DZU$1000000,2125,FALSE)</f>
        <v>#N/A</v>
      </c>
      <c r="Q125" t="e">
        <f>VLOOKUP(A1,InvoicesData!$A$1:$DZU$1000000,2126,FALSE)</f>
        <v>#N/A</v>
      </c>
    </row>
    <row r="126" spans="1:17">
      <c r="A126" t="e">
        <f>VLOOKUP(A1,InvoicesData!$A$1:$DZU$1000000,2127,FALSE)</f>
        <v>#N/A</v>
      </c>
      <c r="B126" t="e">
        <f>VLOOKUP(A1,InvoicesData!$A$1:$DZU$1000000,2128,FALSE)</f>
        <v>#N/A</v>
      </c>
      <c r="C126" t="e">
        <f>VLOOKUP(A1,InvoicesData!$A$1:$DZU$1000000,2129,FALSE)</f>
        <v>#N/A</v>
      </c>
      <c r="D126" t="e">
        <f>VLOOKUP(A1,InvoicesData!$A$1:$DZU$1000000,2130,FALSE)</f>
        <v>#N/A</v>
      </c>
      <c r="E126" t="e">
        <f>VLOOKUP(A1,InvoicesData!$A$1:$DZU$1000000,2131,FALSE)</f>
        <v>#N/A</v>
      </c>
      <c r="F126" t="e">
        <f>VLOOKUP(A1,InvoicesData!$A$1:$DZU$1000000,2132,FALSE)</f>
        <v>#N/A</v>
      </c>
      <c r="G126" t="e">
        <f>VLOOKUP(A1,InvoicesData!$A$1:$DZU$1000000,2133,FALSE)</f>
        <v>#N/A</v>
      </c>
      <c r="H126" t="e">
        <f>VLOOKUP(A1,InvoicesData!$A$1:$DZU$1000000,2134,FALSE)</f>
        <v>#N/A</v>
      </c>
      <c r="I126" t="e">
        <f>VLOOKUP(A1,InvoicesData!$A$1:$DZU$1000000,2135,FALSE)</f>
        <v>#N/A</v>
      </c>
      <c r="J126" t="e">
        <f>VLOOKUP(A1,InvoicesData!$A$1:$DZU$1000000,2136,FALSE)</f>
        <v>#N/A</v>
      </c>
      <c r="K126" t="e">
        <f>VLOOKUP(A1,InvoicesData!$A$1:$DZU$1000000,2137,FALSE)</f>
        <v>#N/A</v>
      </c>
      <c r="L126" t="e">
        <f>VLOOKUP(A1,InvoicesData!$A$1:$DZU$1000000,2138,FALSE)</f>
        <v>#N/A</v>
      </c>
      <c r="M126" t="e">
        <f>VLOOKUP(A1,InvoicesData!$A$1:$DZU$1000000,2139,FALSE)</f>
        <v>#N/A</v>
      </c>
      <c r="N126" t="e">
        <f>VLOOKUP(A1,InvoicesData!$A$1:$DZU$1000000,2140,FALSE)</f>
        <v>#N/A</v>
      </c>
      <c r="O126" t="e">
        <f>VLOOKUP(A1,InvoicesData!$A$1:$DZU$1000000,2141,FALSE)</f>
        <v>#N/A</v>
      </c>
      <c r="P126" t="e">
        <f>VLOOKUP(A1,InvoicesData!$A$1:$DZU$1000000,2142,FALSE)</f>
        <v>#N/A</v>
      </c>
      <c r="Q126" t="e">
        <f>VLOOKUP(A1,InvoicesData!$A$1:$DZU$1000000,2143,FALSE)</f>
        <v>#N/A</v>
      </c>
    </row>
    <row r="127" spans="1:17">
      <c r="A127" t="e">
        <f>VLOOKUP(A1,InvoicesData!$A$1:$DZU$1000000,2144,FALSE)</f>
        <v>#N/A</v>
      </c>
      <c r="B127" t="e">
        <f>VLOOKUP(A1,InvoicesData!$A$1:$DZU$1000000,2145,FALSE)</f>
        <v>#N/A</v>
      </c>
      <c r="C127" t="e">
        <f>VLOOKUP(A1,InvoicesData!$A$1:$DZU$1000000,2146,FALSE)</f>
        <v>#N/A</v>
      </c>
      <c r="D127" t="e">
        <f>VLOOKUP(A1,InvoicesData!$A$1:$DZU$1000000,2147,FALSE)</f>
        <v>#N/A</v>
      </c>
      <c r="E127" t="e">
        <f>VLOOKUP(A1,InvoicesData!$A$1:$DZU$1000000,2148,FALSE)</f>
        <v>#N/A</v>
      </c>
      <c r="F127" t="e">
        <f>VLOOKUP(A1,InvoicesData!$A$1:$DZU$1000000,2149,FALSE)</f>
        <v>#N/A</v>
      </c>
      <c r="G127" t="e">
        <f>VLOOKUP(A1,InvoicesData!$A$1:$DZU$1000000,2150,FALSE)</f>
        <v>#N/A</v>
      </c>
      <c r="H127" t="e">
        <f>VLOOKUP(A1,InvoicesData!$A$1:$DZU$1000000,2151,FALSE)</f>
        <v>#N/A</v>
      </c>
      <c r="I127" t="e">
        <f>VLOOKUP(A1,InvoicesData!$A$1:$DZU$1000000,2152,FALSE)</f>
        <v>#N/A</v>
      </c>
      <c r="J127" t="e">
        <f>VLOOKUP(A1,InvoicesData!$A$1:$DZU$1000000,2153,FALSE)</f>
        <v>#N/A</v>
      </c>
      <c r="K127" t="e">
        <f>VLOOKUP(A1,InvoicesData!$A$1:$DZU$1000000,2154,FALSE)</f>
        <v>#N/A</v>
      </c>
      <c r="L127" t="e">
        <f>VLOOKUP(A1,InvoicesData!$A$1:$DZU$1000000,2155,FALSE)</f>
        <v>#N/A</v>
      </c>
      <c r="M127" t="e">
        <f>VLOOKUP(A1,InvoicesData!$A$1:$DZU$1000000,2156,FALSE)</f>
        <v>#N/A</v>
      </c>
      <c r="N127" t="e">
        <f>VLOOKUP(A1,InvoicesData!$A$1:$DZU$1000000,2157,FALSE)</f>
        <v>#N/A</v>
      </c>
      <c r="O127" t="e">
        <f>VLOOKUP(A1,InvoicesData!$A$1:$DZU$1000000,2158,FALSE)</f>
        <v>#N/A</v>
      </c>
      <c r="P127" t="e">
        <f>VLOOKUP(A1,InvoicesData!$A$1:$DZU$1000000,2159,FALSE)</f>
        <v>#N/A</v>
      </c>
      <c r="Q127" t="e">
        <f>VLOOKUP(A1,InvoicesData!$A$1:$DZU$1000000,2160,FALSE)</f>
        <v>#N/A</v>
      </c>
    </row>
    <row r="128" spans="1:17">
      <c r="A128" t="e">
        <f>VLOOKUP(A1,InvoicesData!$A$1:$DZU$1000000,2161,FALSE)</f>
        <v>#N/A</v>
      </c>
      <c r="B128" t="e">
        <f>VLOOKUP(A1,InvoicesData!$A$1:$DZU$1000000,2162,FALSE)</f>
        <v>#N/A</v>
      </c>
      <c r="C128" t="e">
        <f>VLOOKUP(A1,InvoicesData!$A$1:$DZU$1000000,2163,FALSE)</f>
        <v>#N/A</v>
      </c>
      <c r="D128" t="e">
        <f>VLOOKUP(A1,InvoicesData!$A$1:$DZU$1000000,2164,FALSE)</f>
        <v>#N/A</v>
      </c>
      <c r="E128" t="e">
        <f>VLOOKUP(A1,InvoicesData!$A$1:$DZU$1000000,2165,FALSE)</f>
        <v>#N/A</v>
      </c>
      <c r="F128" t="e">
        <f>VLOOKUP(A1,InvoicesData!$A$1:$DZU$1000000,2166,FALSE)</f>
        <v>#N/A</v>
      </c>
      <c r="G128" t="e">
        <f>VLOOKUP(A1,InvoicesData!$A$1:$DZU$1000000,2167,FALSE)</f>
        <v>#N/A</v>
      </c>
      <c r="H128" t="e">
        <f>VLOOKUP(A1,InvoicesData!$A$1:$DZU$1000000,2168,FALSE)</f>
        <v>#N/A</v>
      </c>
      <c r="I128" t="e">
        <f>VLOOKUP(A1,InvoicesData!$A$1:$DZU$1000000,2169,FALSE)</f>
        <v>#N/A</v>
      </c>
      <c r="J128" t="e">
        <f>VLOOKUP(A1,InvoicesData!$A$1:$DZU$1000000,2170,FALSE)</f>
        <v>#N/A</v>
      </c>
      <c r="K128" t="e">
        <f>VLOOKUP(A1,InvoicesData!$A$1:$DZU$1000000,2171,FALSE)</f>
        <v>#N/A</v>
      </c>
      <c r="L128" t="e">
        <f>VLOOKUP(A1,InvoicesData!$A$1:$DZU$1000000,2172,FALSE)</f>
        <v>#N/A</v>
      </c>
      <c r="M128" t="e">
        <f>VLOOKUP(A1,InvoicesData!$A$1:$DZU$1000000,2173,FALSE)</f>
        <v>#N/A</v>
      </c>
      <c r="N128" t="e">
        <f>VLOOKUP(A1,InvoicesData!$A$1:$DZU$1000000,2174,FALSE)</f>
        <v>#N/A</v>
      </c>
      <c r="O128" t="e">
        <f>VLOOKUP(A1,InvoicesData!$A$1:$DZU$1000000,2175,FALSE)</f>
        <v>#N/A</v>
      </c>
      <c r="P128" t="e">
        <f>VLOOKUP(A1,InvoicesData!$A$1:$DZU$1000000,2176,FALSE)</f>
        <v>#N/A</v>
      </c>
      <c r="Q128" t="e">
        <f>VLOOKUP(A1,InvoicesData!$A$1:$DZU$1000000,2177,FALSE)</f>
        <v>#N/A</v>
      </c>
    </row>
    <row r="129" spans="1:17">
      <c r="A129" t="e">
        <f>VLOOKUP(A1,InvoicesData!$A$1:$DZU$1000000,2178,FALSE)</f>
        <v>#N/A</v>
      </c>
      <c r="B129" t="e">
        <f>VLOOKUP(A1,InvoicesData!$A$1:$DZU$1000000,2179,FALSE)</f>
        <v>#N/A</v>
      </c>
      <c r="C129" t="e">
        <f>VLOOKUP(A1,InvoicesData!$A$1:$DZU$1000000,2180,FALSE)</f>
        <v>#N/A</v>
      </c>
      <c r="D129" t="e">
        <f>VLOOKUP(A1,InvoicesData!$A$1:$DZU$1000000,2181,FALSE)</f>
        <v>#N/A</v>
      </c>
      <c r="E129" t="e">
        <f>VLOOKUP(A1,InvoicesData!$A$1:$DZU$1000000,2182,FALSE)</f>
        <v>#N/A</v>
      </c>
      <c r="F129" t="e">
        <f>VLOOKUP(A1,InvoicesData!$A$1:$DZU$1000000,2183,FALSE)</f>
        <v>#N/A</v>
      </c>
      <c r="G129" t="e">
        <f>VLOOKUP(A1,InvoicesData!$A$1:$DZU$1000000,2184,FALSE)</f>
        <v>#N/A</v>
      </c>
      <c r="H129" t="e">
        <f>VLOOKUP(A1,InvoicesData!$A$1:$DZU$1000000,2185,FALSE)</f>
        <v>#N/A</v>
      </c>
      <c r="I129" t="e">
        <f>VLOOKUP(A1,InvoicesData!$A$1:$DZU$1000000,2186,FALSE)</f>
        <v>#N/A</v>
      </c>
      <c r="J129" t="e">
        <f>VLOOKUP(A1,InvoicesData!$A$1:$DZU$1000000,2187,FALSE)</f>
        <v>#N/A</v>
      </c>
      <c r="K129" t="e">
        <f>VLOOKUP(A1,InvoicesData!$A$1:$DZU$1000000,2188,FALSE)</f>
        <v>#N/A</v>
      </c>
      <c r="L129" t="e">
        <f>VLOOKUP(A1,InvoicesData!$A$1:$DZU$1000000,2189,FALSE)</f>
        <v>#N/A</v>
      </c>
      <c r="M129" t="e">
        <f>VLOOKUP(A1,InvoicesData!$A$1:$DZU$1000000,2190,FALSE)</f>
        <v>#N/A</v>
      </c>
      <c r="N129" t="e">
        <f>VLOOKUP(A1,InvoicesData!$A$1:$DZU$1000000,2191,FALSE)</f>
        <v>#N/A</v>
      </c>
      <c r="O129" t="e">
        <f>VLOOKUP(A1,InvoicesData!$A$1:$DZU$1000000,2192,FALSE)</f>
        <v>#N/A</v>
      </c>
      <c r="P129" t="e">
        <f>VLOOKUP(A1,InvoicesData!$A$1:$DZU$1000000,2193,FALSE)</f>
        <v>#N/A</v>
      </c>
      <c r="Q129" t="e">
        <f>VLOOKUP(A1,InvoicesData!$A$1:$DZU$1000000,2194,FALSE)</f>
        <v>#N/A</v>
      </c>
    </row>
    <row r="130" spans="1:17">
      <c r="A130" t="e">
        <f>VLOOKUP(A1,InvoicesData!$A$1:$DZU$1000000,2195,FALSE)</f>
        <v>#N/A</v>
      </c>
      <c r="B130" t="e">
        <f>VLOOKUP(A1,InvoicesData!$A$1:$DZU$1000000,2196,FALSE)</f>
        <v>#N/A</v>
      </c>
      <c r="C130" t="e">
        <f>VLOOKUP(A1,InvoicesData!$A$1:$DZU$1000000,2197,FALSE)</f>
        <v>#N/A</v>
      </c>
      <c r="D130" t="e">
        <f>VLOOKUP(A1,InvoicesData!$A$1:$DZU$1000000,2198,FALSE)</f>
        <v>#N/A</v>
      </c>
      <c r="E130" t="e">
        <f>VLOOKUP(A1,InvoicesData!$A$1:$DZU$1000000,2199,FALSE)</f>
        <v>#N/A</v>
      </c>
      <c r="F130" t="e">
        <f>VLOOKUP(A1,InvoicesData!$A$1:$DZU$1000000,2200,FALSE)</f>
        <v>#N/A</v>
      </c>
      <c r="G130" t="e">
        <f>VLOOKUP(A1,InvoicesData!$A$1:$DZU$1000000,2201,FALSE)</f>
        <v>#N/A</v>
      </c>
      <c r="H130" t="e">
        <f>VLOOKUP(A1,InvoicesData!$A$1:$DZU$1000000,2202,FALSE)</f>
        <v>#N/A</v>
      </c>
      <c r="I130" t="e">
        <f>VLOOKUP(A1,InvoicesData!$A$1:$DZU$1000000,2203,FALSE)</f>
        <v>#N/A</v>
      </c>
      <c r="J130" t="e">
        <f>VLOOKUP(A1,InvoicesData!$A$1:$DZU$1000000,2204,FALSE)</f>
        <v>#N/A</v>
      </c>
      <c r="K130" t="e">
        <f>VLOOKUP(A1,InvoicesData!$A$1:$DZU$1000000,2205,FALSE)</f>
        <v>#N/A</v>
      </c>
      <c r="L130" t="e">
        <f>VLOOKUP(A1,InvoicesData!$A$1:$DZU$1000000,2206,FALSE)</f>
        <v>#N/A</v>
      </c>
      <c r="M130" t="e">
        <f>VLOOKUP(A1,InvoicesData!$A$1:$DZU$1000000,2207,FALSE)</f>
        <v>#N/A</v>
      </c>
      <c r="N130" t="e">
        <f>VLOOKUP(A1,InvoicesData!$A$1:$DZU$1000000,2208,FALSE)</f>
        <v>#N/A</v>
      </c>
      <c r="O130" t="e">
        <f>VLOOKUP(A1,InvoicesData!$A$1:$DZU$1000000,2209,FALSE)</f>
        <v>#N/A</v>
      </c>
      <c r="P130" t="e">
        <f>VLOOKUP(A1,InvoicesData!$A$1:$DZU$1000000,2210,FALSE)</f>
        <v>#N/A</v>
      </c>
      <c r="Q130" t="e">
        <f>VLOOKUP(A1,InvoicesData!$A$1:$DZU$1000000,2211,FALSE)</f>
        <v>#N/A</v>
      </c>
    </row>
    <row r="131" spans="1:17">
      <c r="A131" t="e">
        <f>VLOOKUP(A1,InvoicesData!$A$1:$DZU$1000000,2212,FALSE)</f>
        <v>#N/A</v>
      </c>
      <c r="B131" t="e">
        <f>VLOOKUP(A1,InvoicesData!$A$1:$DZU$1000000,2213,FALSE)</f>
        <v>#N/A</v>
      </c>
      <c r="C131" t="e">
        <f>VLOOKUP(A1,InvoicesData!$A$1:$DZU$1000000,2214,FALSE)</f>
        <v>#N/A</v>
      </c>
      <c r="D131" t="e">
        <f>VLOOKUP(A1,InvoicesData!$A$1:$DZU$1000000,2215,FALSE)</f>
        <v>#N/A</v>
      </c>
      <c r="E131" t="e">
        <f>VLOOKUP(A1,InvoicesData!$A$1:$DZU$1000000,2216,FALSE)</f>
        <v>#N/A</v>
      </c>
      <c r="F131" t="e">
        <f>VLOOKUP(A1,InvoicesData!$A$1:$DZU$1000000,2217,FALSE)</f>
        <v>#N/A</v>
      </c>
      <c r="G131" t="e">
        <f>VLOOKUP(A1,InvoicesData!$A$1:$DZU$1000000,2218,FALSE)</f>
        <v>#N/A</v>
      </c>
      <c r="H131" t="e">
        <f>VLOOKUP(A1,InvoicesData!$A$1:$DZU$1000000,2219,FALSE)</f>
        <v>#N/A</v>
      </c>
      <c r="I131" t="e">
        <f>VLOOKUP(A1,InvoicesData!$A$1:$DZU$1000000,2220,FALSE)</f>
        <v>#N/A</v>
      </c>
      <c r="J131" t="e">
        <f>VLOOKUP(A1,InvoicesData!$A$1:$DZU$1000000,2221,FALSE)</f>
        <v>#N/A</v>
      </c>
      <c r="K131" t="e">
        <f>VLOOKUP(A1,InvoicesData!$A$1:$DZU$1000000,2222,FALSE)</f>
        <v>#N/A</v>
      </c>
      <c r="L131" t="e">
        <f>VLOOKUP(A1,InvoicesData!$A$1:$DZU$1000000,2223,FALSE)</f>
        <v>#N/A</v>
      </c>
      <c r="M131" t="e">
        <f>VLOOKUP(A1,InvoicesData!$A$1:$DZU$1000000,2224,FALSE)</f>
        <v>#N/A</v>
      </c>
      <c r="N131" t="e">
        <f>VLOOKUP(A1,InvoicesData!$A$1:$DZU$1000000,2225,FALSE)</f>
        <v>#N/A</v>
      </c>
      <c r="O131" t="e">
        <f>VLOOKUP(A1,InvoicesData!$A$1:$DZU$1000000,2226,FALSE)</f>
        <v>#N/A</v>
      </c>
      <c r="P131" t="e">
        <f>VLOOKUP(A1,InvoicesData!$A$1:$DZU$1000000,2227,FALSE)</f>
        <v>#N/A</v>
      </c>
      <c r="Q131" t="e">
        <f>VLOOKUP(A1,InvoicesData!$A$1:$DZU$1000000,2228,FALSE)</f>
        <v>#N/A</v>
      </c>
    </row>
    <row r="132" spans="1:17">
      <c r="A132" t="e">
        <f>VLOOKUP(A1,InvoicesData!$A$1:$DZU$1000000,2229,FALSE)</f>
        <v>#N/A</v>
      </c>
      <c r="B132" t="e">
        <f>VLOOKUP(A1,InvoicesData!$A$1:$DZU$1000000,2230,FALSE)</f>
        <v>#N/A</v>
      </c>
      <c r="C132" t="e">
        <f>VLOOKUP(A1,InvoicesData!$A$1:$DZU$1000000,2231,FALSE)</f>
        <v>#N/A</v>
      </c>
      <c r="D132" t="e">
        <f>VLOOKUP(A1,InvoicesData!$A$1:$DZU$1000000,2232,FALSE)</f>
        <v>#N/A</v>
      </c>
      <c r="E132" t="e">
        <f>VLOOKUP(A1,InvoicesData!$A$1:$DZU$1000000,2233,FALSE)</f>
        <v>#N/A</v>
      </c>
      <c r="F132" t="e">
        <f>VLOOKUP(A1,InvoicesData!$A$1:$DZU$1000000,2234,FALSE)</f>
        <v>#N/A</v>
      </c>
      <c r="G132" t="e">
        <f>VLOOKUP(A1,InvoicesData!$A$1:$DZU$1000000,2235,FALSE)</f>
        <v>#N/A</v>
      </c>
      <c r="H132" t="e">
        <f>VLOOKUP(A1,InvoicesData!$A$1:$DZU$1000000,2236,FALSE)</f>
        <v>#N/A</v>
      </c>
      <c r="I132" t="e">
        <f>VLOOKUP(A1,InvoicesData!$A$1:$DZU$1000000,2237,FALSE)</f>
        <v>#N/A</v>
      </c>
      <c r="J132" t="e">
        <f>VLOOKUP(A1,InvoicesData!$A$1:$DZU$1000000,2238,FALSE)</f>
        <v>#N/A</v>
      </c>
      <c r="K132" t="e">
        <f>VLOOKUP(A1,InvoicesData!$A$1:$DZU$1000000,2239,FALSE)</f>
        <v>#N/A</v>
      </c>
      <c r="L132" t="e">
        <f>VLOOKUP(A1,InvoicesData!$A$1:$DZU$1000000,2240,FALSE)</f>
        <v>#N/A</v>
      </c>
      <c r="M132" t="e">
        <f>VLOOKUP(A1,InvoicesData!$A$1:$DZU$1000000,2241,FALSE)</f>
        <v>#N/A</v>
      </c>
      <c r="N132" t="e">
        <f>VLOOKUP(A1,InvoicesData!$A$1:$DZU$1000000,2242,FALSE)</f>
        <v>#N/A</v>
      </c>
      <c r="O132" t="e">
        <f>VLOOKUP(A1,InvoicesData!$A$1:$DZU$1000000,2243,FALSE)</f>
        <v>#N/A</v>
      </c>
      <c r="P132" t="e">
        <f>VLOOKUP(A1,InvoicesData!$A$1:$DZU$1000000,2244,FALSE)</f>
        <v>#N/A</v>
      </c>
      <c r="Q132" t="e">
        <f>VLOOKUP(A1,InvoicesData!$A$1:$DZU$1000000,2245,FALSE)</f>
        <v>#N/A</v>
      </c>
    </row>
    <row r="133" spans="1:17">
      <c r="A133" t="e">
        <f>VLOOKUP(A1,InvoicesData!$A$1:$DZU$1000000,2246,FALSE)</f>
        <v>#N/A</v>
      </c>
      <c r="B133" t="e">
        <f>VLOOKUP(A1,InvoicesData!$A$1:$DZU$1000000,2247,FALSE)</f>
        <v>#N/A</v>
      </c>
      <c r="C133" t="e">
        <f>VLOOKUP(A1,InvoicesData!$A$1:$DZU$1000000,2248,FALSE)</f>
        <v>#N/A</v>
      </c>
      <c r="D133" t="e">
        <f>VLOOKUP(A1,InvoicesData!$A$1:$DZU$1000000,2249,FALSE)</f>
        <v>#N/A</v>
      </c>
      <c r="E133" t="e">
        <f>VLOOKUP(A1,InvoicesData!$A$1:$DZU$1000000,2250,FALSE)</f>
        <v>#N/A</v>
      </c>
      <c r="F133" t="e">
        <f>VLOOKUP(A1,InvoicesData!$A$1:$DZU$1000000,2251,FALSE)</f>
        <v>#N/A</v>
      </c>
      <c r="G133" t="e">
        <f>VLOOKUP(A1,InvoicesData!$A$1:$DZU$1000000,2252,FALSE)</f>
        <v>#N/A</v>
      </c>
      <c r="H133" t="e">
        <f>VLOOKUP(A1,InvoicesData!$A$1:$DZU$1000000,2253,FALSE)</f>
        <v>#N/A</v>
      </c>
      <c r="I133" t="e">
        <f>VLOOKUP(A1,InvoicesData!$A$1:$DZU$1000000,2254,FALSE)</f>
        <v>#N/A</v>
      </c>
      <c r="J133" t="e">
        <f>VLOOKUP(A1,InvoicesData!$A$1:$DZU$1000000,2255,FALSE)</f>
        <v>#N/A</v>
      </c>
      <c r="K133" t="e">
        <f>VLOOKUP(A1,InvoicesData!$A$1:$DZU$1000000,2256,FALSE)</f>
        <v>#N/A</v>
      </c>
      <c r="L133" t="e">
        <f>VLOOKUP(A1,InvoicesData!$A$1:$DZU$1000000,2257,FALSE)</f>
        <v>#N/A</v>
      </c>
      <c r="M133" t="e">
        <f>VLOOKUP(A1,InvoicesData!$A$1:$DZU$1000000,2258,FALSE)</f>
        <v>#N/A</v>
      </c>
      <c r="N133" t="e">
        <f>VLOOKUP(A1,InvoicesData!$A$1:$DZU$1000000,2259,FALSE)</f>
        <v>#N/A</v>
      </c>
      <c r="O133" t="e">
        <f>VLOOKUP(A1,InvoicesData!$A$1:$DZU$1000000,2260,FALSE)</f>
        <v>#N/A</v>
      </c>
      <c r="P133" t="e">
        <f>VLOOKUP(A1,InvoicesData!$A$1:$DZU$1000000,2261,FALSE)</f>
        <v>#N/A</v>
      </c>
      <c r="Q133" t="e">
        <f>VLOOKUP(A1,InvoicesData!$A$1:$DZU$1000000,2262,FALSE)</f>
        <v>#N/A</v>
      </c>
    </row>
    <row r="134" spans="1:17">
      <c r="A134" t="e">
        <f>VLOOKUP(A1,InvoicesData!$A$1:$DZU$1000000,2263,FALSE)</f>
        <v>#N/A</v>
      </c>
      <c r="B134" t="e">
        <f>VLOOKUP(A1,InvoicesData!$A$1:$DZU$1000000,2264,FALSE)</f>
        <v>#N/A</v>
      </c>
      <c r="C134" t="e">
        <f>VLOOKUP(A1,InvoicesData!$A$1:$DZU$1000000,2265,FALSE)</f>
        <v>#N/A</v>
      </c>
      <c r="D134" t="e">
        <f>VLOOKUP(A1,InvoicesData!$A$1:$DZU$1000000,2266,FALSE)</f>
        <v>#N/A</v>
      </c>
      <c r="E134" t="e">
        <f>VLOOKUP(A1,InvoicesData!$A$1:$DZU$1000000,2267,FALSE)</f>
        <v>#N/A</v>
      </c>
      <c r="F134" t="e">
        <f>VLOOKUP(A1,InvoicesData!$A$1:$DZU$1000000,2268,FALSE)</f>
        <v>#N/A</v>
      </c>
      <c r="G134" t="e">
        <f>VLOOKUP(A1,InvoicesData!$A$1:$DZU$1000000,2269,FALSE)</f>
        <v>#N/A</v>
      </c>
      <c r="H134" t="e">
        <f>VLOOKUP(A1,InvoicesData!$A$1:$DZU$1000000,2270,FALSE)</f>
        <v>#N/A</v>
      </c>
      <c r="I134" t="e">
        <f>VLOOKUP(A1,InvoicesData!$A$1:$DZU$1000000,2271,FALSE)</f>
        <v>#N/A</v>
      </c>
      <c r="J134" t="e">
        <f>VLOOKUP(A1,InvoicesData!$A$1:$DZU$1000000,2272,FALSE)</f>
        <v>#N/A</v>
      </c>
      <c r="K134" t="e">
        <f>VLOOKUP(A1,InvoicesData!$A$1:$DZU$1000000,2273,FALSE)</f>
        <v>#N/A</v>
      </c>
      <c r="L134" t="e">
        <f>VLOOKUP(A1,InvoicesData!$A$1:$DZU$1000000,2274,FALSE)</f>
        <v>#N/A</v>
      </c>
      <c r="M134" t="e">
        <f>VLOOKUP(A1,InvoicesData!$A$1:$DZU$1000000,2275,FALSE)</f>
        <v>#N/A</v>
      </c>
      <c r="N134" t="e">
        <f>VLOOKUP(A1,InvoicesData!$A$1:$DZU$1000000,2276,FALSE)</f>
        <v>#N/A</v>
      </c>
      <c r="O134" t="e">
        <f>VLOOKUP(A1,InvoicesData!$A$1:$DZU$1000000,2277,FALSE)</f>
        <v>#N/A</v>
      </c>
      <c r="P134" t="e">
        <f>VLOOKUP(A1,InvoicesData!$A$1:$DZU$1000000,2278,FALSE)</f>
        <v>#N/A</v>
      </c>
      <c r="Q134" t="e">
        <f>VLOOKUP(A1,InvoicesData!$A$1:$DZU$1000000,2279,FALSE)</f>
        <v>#N/A</v>
      </c>
    </row>
    <row r="135" spans="1:17">
      <c r="A135" t="e">
        <f>VLOOKUP(A1,InvoicesData!$A$1:$DZU$1000000,2280,FALSE)</f>
        <v>#N/A</v>
      </c>
      <c r="B135" t="e">
        <f>VLOOKUP(A1,InvoicesData!$A$1:$DZU$1000000,2281,FALSE)</f>
        <v>#N/A</v>
      </c>
      <c r="C135" t="e">
        <f>VLOOKUP(A1,InvoicesData!$A$1:$DZU$1000000,2282,FALSE)</f>
        <v>#N/A</v>
      </c>
      <c r="D135" t="e">
        <f>VLOOKUP(A1,InvoicesData!$A$1:$DZU$1000000,2283,FALSE)</f>
        <v>#N/A</v>
      </c>
      <c r="E135" t="e">
        <f>VLOOKUP(A1,InvoicesData!$A$1:$DZU$1000000,2284,FALSE)</f>
        <v>#N/A</v>
      </c>
      <c r="F135" t="e">
        <f>VLOOKUP(A1,InvoicesData!$A$1:$DZU$1000000,2285,FALSE)</f>
        <v>#N/A</v>
      </c>
      <c r="G135" t="e">
        <f>VLOOKUP(A1,InvoicesData!$A$1:$DZU$1000000,2286,FALSE)</f>
        <v>#N/A</v>
      </c>
      <c r="H135" t="e">
        <f>VLOOKUP(A1,InvoicesData!$A$1:$DZU$1000000,2287,FALSE)</f>
        <v>#N/A</v>
      </c>
      <c r="I135" t="e">
        <f>VLOOKUP(A1,InvoicesData!$A$1:$DZU$1000000,2288,FALSE)</f>
        <v>#N/A</v>
      </c>
      <c r="J135" t="e">
        <f>VLOOKUP(A1,InvoicesData!$A$1:$DZU$1000000,2289,FALSE)</f>
        <v>#N/A</v>
      </c>
      <c r="K135" t="e">
        <f>VLOOKUP(A1,InvoicesData!$A$1:$DZU$1000000,2290,FALSE)</f>
        <v>#N/A</v>
      </c>
      <c r="L135" t="e">
        <f>VLOOKUP(A1,InvoicesData!$A$1:$DZU$1000000,2291,FALSE)</f>
        <v>#N/A</v>
      </c>
      <c r="M135" t="e">
        <f>VLOOKUP(A1,InvoicesData!$A$1:$DZU$1000000,2292,FALSE)</f>
        <v>#N/A</v>
      </c>
      <c r="N135" t="e">
        <f>VLOOKUP(A1,InvoicesData!$A$1:$DZU$1000000,2293,FALSE)</f>
        <v>#N/A</v>
      </c>
      <c r="O135" t="e">
        <f>VLOOKUP(A1,InvoicesData!$A$1:$DZU$1000000,2294,FALSE)</f>
        <v>#N/A</v>
      </c>
      <c r="P135" t="e">
        <f>VLOOKUP(A1,InvoicesData!$A$1:$DZU$1000000,2295,FALSE)</f>
        <v>#N/A</v>
      </c>
      <c r="Q135" t="e">
        <f>VLOOKUP(A1,InvoicesData!$A$1:$DZU$1000000,2296,FALSE)</f>
        <v>#N/A</v>
      </c>
    </row>
    <row r="136" spans="1:17">
      <c r="A136" t="e">
        <f>VLOOKUP(A1,InvoicesData!$A$1:$DZU$1000000,2297,FALSE)</f>
        <v>#N/A</v>
      </c>
      <c r="B136" t="e">
        <f>VLOOKUP(A1,InvoicesData!$A$1:$DZU$1000000,2298,FALSE)</f>
        <v>#N/A</v>
      </c>
      <c r="C136" t="e">
        <f>VLOOKUP(A1,InvoicesData!$A$1:$DZU$1000000,2299,FALSE)</f>
        <v>#N/A</v>
      </c>
      <c r="D136" t="e">
        <f>VLOOKUP(A1,InvoicesData!$A$1:$DZU$1000000,2300,FALSE)</f>
        <v>#N/A</v>
      </c>
      <c r="E136" t="e">
        <f>VLOOKUP(A1,InvoicesData!$A$1:$DZU$1000000,2301,FALSE)</f>
        <v>#N/A</v>
      </c>
      <c r="F136" t="e">
        <f>VLOOKUP(A1,InvoicesData!$A$1:$DZU$1000000,2302,FALSE)</f>
        <v>#N/A</v>
      </c>
      <c r="G136" t="e">
        <f>VLOOKUP(A1,InvoicesData!$A$1:$DZU$1000000,2303,FALSE)</f>
        <v>#N/A</v>
      </c>
      <c r="H136" t="e">
        <f>VLOOKUP(A1,InvoicesData!$A$1:$DZU$1000000,2304,FALSE)</f>
        <v>#N/A</v>
      </c>
      <c r="I136" t="e">
        <f>VLOOKUP(A1,InvoicesData!$A$1:$DZU$1000000,2305,FALSE)</f>
        <v>#N/A</v>
      </c>
      <c r="J136" t="e">
        <f>VLOOKUP(A1,InvoicesData!$A$1:$DZU$1000000,2306,FALSE)</f>
        <v>#N/A</v>
      </c>
      <c r="K136" t="e">
        <f>VLOOKUP(A1,InvoicesData!$A$1:$DZU$1000000,2307,FALSE)</f>
        <v>#N/A</v>
      </c>
      <c r="L136" t="e">
        <f>VLOOKUP(A1,InvoicesData!$A$1:$DZU$1000000,2308,FALSE)</f>
        <v>#N/A</v>
      </c>
      <c r="M136" t="e">
        <f>VLOOKUP(A1,InvoicesData!$A$1:$DZU$1000000,2309,FALSE)</f>
        <v>#N/A</v>
      </c>
      <c r="N136" t="e">
        <f>VLOOKUP(A1,InvoicesData!$A$1:$DZU$1000000,2310,FALSE)</f>
        <v>#N/A</v>
      </c>
      <c r="O136" t="e">
        <f>VLOOKUP(A1,InvoicesData!$A$1:$DZU$1000000,2311,FALSE)</f>
        <v>#N/A</v>
      </c>
      <c r="P136" t="e">
        <f>VLOOKUP(A1,InvoicesData!$A$1:$DZU$1000000,2312,FALSE)</f>
        <v>#N/A</v>
      </c>
      <c r="Q136" t="e">
        <f>VLOOKUP(A1,InvoicesData!$A$1:$DZU$1000000,2313,FALSE)</f>
        <v>#N/A</v>
      </c>
    </row>
    <row r="137" spans="1:17">
      <c r="A137" t="e">
        <f>VLOOKUP(A1,InvoicesData!$A$1:$DZU$1000000,2314,FALSE)</f>
        <v>#N/A</v>
      </c>
      <c r="B137" t="e">
        <f>VLOOKUP(A1,InvoicesData!$A$1:$DZU$1000000,2315,FALSE)</f>
        <v>#N/A</v>
      </c>
      <c r="C137" t="e">
        <f>VLOOKUP(A1,InvoicesData!$A$1:$DZU$1000000,2316,FALSE)</f>
        <v>#N/A</v>
      </c>
      <c r="D137" t="e">
        <f>VLOOKUP(A1,InvoicesData!$A$1:$DZU$1000000,2317,FALSE)</f>
        <v>#N/A</v>
      </c>
      <c r="E137" t="e">
        <f>VLOOKUP(A1,InvoicesData!$A$1:$DZU$1000000,2318,FALSE)</f>
        <v>#N/A</v>
      </c>
      <c r="F137" t="e">
        <f>VLOOKUP(A1,InvoicesData!$A$1:$DZU$1000000,2319,FALSE)</f>
        <v>#N/A</v>
      </c>
      <c r="G137" t="e">
        <f>VLOOKUP(A1,InvoicesData!$A$1:$DZU$1000000,2320,FALSE)</f>
        <v>#N/A</v>
      </c>
      <c r="H137" t="e">
        <f>VLOOKUP(A1,InvoicesData!$A$1:$DZU$1000000,2321,FALSE)</f>
        <v>#N/A</v>
      </c>
      <c r="I137" t="e">
        <f>VLOOKUP(A1,InvoicesData!$A$1:$DZU$1000000,2322,FALSE)</f>
        <v>#N/A</v>
      </c>
      <c r="J137" t="e">
        <f>VLOOKUP(A1,InvoicesData!$A$1:$DZU$1000000,2323,FALSE)</f>
        <v>#N/A</v>
      </c>
      <c r="K137" t="e">
        <f>VLOOKUP(A1,InvoicesData!$A$1:$DZU$1000000,2324,FALSE)</f>
        <v>#N/A</v>
      </c>
      <c r="L137" t="e">
        <f>VLOOKUP(A1,InvoicesData!$A$1:$DZU$1000000,2325,FALSE)</f>
        <v>#N/A</v>
      </c>
      <c r="M137" t="e">
        <f>VLOOKUP(A1,InvoicesData!$A$1:$DZU$1000000,2326,FALSE)</f>
        <v>#N/A</v>
      </c>
      <c r="N137" t="e">
        <f>VLOOKUP(A1,InvoicesData!$A$1:$DZU$1000000,2327,FALSE)</f>
        <v>#N/A</v>
      </c>
      <c r="O137" t="e">
        <f>VLOOKUP(A1,InvoicesData!$A$1:$DZU$1000000,2328,FALSE)</f>
        <v>#N/A</v>
      </c>
      <c r="P137" t="e">
        <f>VLOOKUP(A1,InvoicesData!$A$1:$DZU$1000000,2329,FALSE)</f>
        <v>#N/A</v>
      </c>
      <c r="Q137" t="e">
        <f>VLOOKUP(A1,InvoicesData!$A$1:$DZU$1000000,2330,FALSE)</f>
        <v>#N/A</v>
      </c>
    </row>
    <row r="138" spans="1:17">
      <c r="A138" t="e">
        <f>VLOOKUP(A1,InvoicesData!$A$1:$DZU$1000000,2331,FALSE)</f>
        <v>#N/A</v>
      </c>
      <c r="B138" t="e">
        <f>VLOOKUP(A1,InvoicesData!$A$1:$DZU$1000000,2332,FALSE)</f>
        <v>#N/A</v>
      </c>
      <c r="C138" t="e">
        <f>VLOOKUP(A1,InvoicesData!$A$1:$DZU$1000000,2333,FALSE)</f>
        <v>#N/A</v>
      </c>
      <c r="D138" t="e">
        <f>VLOOKUP(A1,InvoicesData!$A$1:$DZU$1000000,2334,FALSE)</f>
        <v>#N/A</v>
      </c>
      <c r="E138" t="e">
        <f>VLOOKUP(A1,InvoicesData!$A$1:$DZU$1000000,2335,FALSE)</f>
        <v>#N/A</v>
      </c>
      <c r="F138" t="e">
        <f>VLOOKUP(A1,InvoicesData!$A$1:$DZU$1000000,2336,FALSE)</f>
        <v>#N/A</v>
      </c>
      <c r="G138" t="e">
        <f>VLOOKUP(A1,InvoicesData!$A$1:$DZU$1000000,2337,FALSE)</f>
        <v>#N/A</v>
      </c>
      <c r="H138" t="e">
        <f>VLOOKUP(A1,InvoicesData!$A$1:$DZU$1000000,2338,FALSE)</f>
        <v>#N/A</v>
      </c>
      <c r="I138" t="e">
        <f>VLOOKUP(A1,InvoicesData!$A$1:$DZU$1000000,2339,FALSE)</f>
        <v>#N/A</v>
      </c>
      <c r="J138" t="e">
        <f>VLOOKUP(A1,InvoicesData!$A$1:$DZU$1000000,2340,FALSE)</f>
        <v>#N/A</v>
      </c>
      <c r="K138" t="e">
        <f>VLOOKUP(A1,InvoicesData!$A$1:$DZU$1000000,2341,FALSE)</f>
        <v>#N/A</v>
      </c>
      <c r="L138" t="e">
        <f>VLOOKUP(A1,InvoicesData!$A$1:$DZU$1000000,2342,FALSE)</f>
        <v>#N/A</v>
      </c>
      <c r="M138" t="e">
        <f>VLOOKUP(A1,InvoicesData!$A$1:$DZU$1000000,2343,FALSE)</f>
        <v>#N/A</v>
      </c>
      <c r="N138" t="e">
        <f>VLOOKUP(A1,InvoicesData!$A$1:$DZU$1000000,2344,FALSE)</f>
        <v>#N/A</v>
      </c>
      <c r="O138" t="e">
        <f>VLOOKUP(A1,InvoicesData!$A$1:$DZU$1000000,2345,FALSE)</f>
        <v>#N/A</v>
      </c>
      <c r="P138" t="e">
        <f>VLOOKUP(A1,InvoicesData!$A$1:$DZU$1000000,2346,FALSE)</f>
        <v>#N/A</v>
      </c>
      <c r="Q138" t="e">
        <f>VLOOKUP(A1,InvoicesData!$A$1:$DZU$1000000,2347,FALSE)</f>
        <v>#N/A</v>
      </c>
    </row>
    <row r="139" spans="1:17">
      <c r="A139" t="e">
        <f>VLOOKUP(A1,InvoicesData!$A$1:$DZU$1000000,2348,FALSE)</f>
        <v>#N/A</v>
      </c>
      <c r="B139" t="e">
        <f>VLOOKUP(A1,InvoicesData!$A$1:$DZU$1000000,2349,FALSE)</f>
        <v>#N/A</v>
      </c>
      <c r="C139" t="e">
        <f>VLOOKUP(A1,InvoicesData!$A$1:$DZU$1000000,2350,FALSE)</f>
        <v>#N/A</v>
      </c>
      <c r="D139" t="e">
        <f>VLOOKUP(A1,InvoicesData!$A$1:$DZU$1000000,2351,FALSE)</f>
        <v>#N/A</v>
      </c>
      <c r="E139" t="e">
        <f>VLOOKUP(A1,InvoicesData!$A$1:$DZU$1000000,2352,FALSE)</f>
        <v>#N/A</v>
      </c>
      <c r="F139" t="e">
        <f>VLOOKUP(A1,InvoicesData!$A$1:$DZU$1000000,2353,FALSE)</f>
        <v>#N/A</v>
      </c>
      <c r="G139" t="e">
        <f>VLOOKUP(A1,InvoicesData!$A$1:$DZU$1000000,2354,FALSE)</f>
        <v>#N/A</v>
      </c>
      <c r="H139" t="e">
        <f>VLOOKUP(A1,InvoicesData!$A$1:$DZU$1000000,2355,FALSE)</f>
        <v>#N/A</v>
      </c>
      <c r="I139" t="e">
        <f>VLOOKUP(A1,InvoicesData!$A$1:$DZU$1000000,2356,FALSE)</f>
        <v>#N/A</v>
      </c>
      <c r="J139" t="e">
        <f>VLOOKUP(A1,InvoicesData!$A$1:$DZU$1000000,2357,FALSE)</f>
        <v>#N/A</v>
      </c>
      <c r="K139" t="e">
        <f>VLOOKUP(A1,InvoicesData!$A$1:$DZU$1000000,2358,FALSE)</f>
        <v>#N/A</v>
      </c>
      <c r="L139" t="e">
        <f>VLOOKUP(A1,InvoicesData!$A$1:$DZU$1000000,2359,FALSE)</f>
        <v>#N/A</v>
      </c>
      <c r="M139" t="e">
        <f>VLOOKUP(A1,InvoicesData!$A$1:$DZU$1000000,2360,FALSE)</f>
        <v>#N/A</v>
      </c>
      <c r="N139" t="e">
        <f>VLOOKUP(A1,InvoicesData!$A$1:$DZU$1000000,2361,FALSE)</f>
        <v>#N/A</v>
      </c>
      <c r="O139" t="e">
        <f>VLOOKUP(A1,InvoicesData!$A$1:$DZU$1000000,2362,FALSE)</f>
        <v>#N/A</v>
      </c>
      <c r="P139" t="e">
        <f>VLOOKUP(A1,InvoicesData!$A$1:$DZU$1000000,2363,FALSE)</f>
        <v>#N/A</v>
      </c>
      <c r="Q139" t="e">
        <f>VLOOKUP(A1,InvoicesData!$A$1:$DZU$1000000,2364,FALSE)</f>
        <v>#N/A</v>
      </c>
    </row>
    <row r="140" spans="1:17">
      <c r="A140" t="e">
        <f>VLOOKUP(A1,InvoicesData!$A$1:$DZU$1000000,2365,FALSE)</f>
        <v>#N/A</v>
      </c>
      <c r="B140" t="e">
        <f>VLOOKUP(A1,InvoicesData!$A$1:$DZU$1000000,2366,FALSE)</f>
        <v>#N/A</v>
      </c>
      <c r="C140" t="e">
        <f>VLOOKUP(A1,InvoicesData!$A$1:$DZU$1000000,2367,FALSE)</f>
        <v>#N/A</v>
      </c>
      <c r="D140" t="e">
        <f>VLOOKUP(A1,InvoicesData!$A$1:$DZU$1000000,2368,FALSE)</f>
        <v>#N/A</v>
      </c>
      <c r="E140" t="e">
        <f>VLOOKUP(A1,InvoicesData!$A$1:$DZU$1000000,2369,FALSE)</f>
        <v>#N/A</v>
      </c>
      <c r="F140" t="e">
        <f>VLOOKUP(A1,InvoicesData!$A$1:$DZU$1000000,2370,FALSE)</f>
        <v>#N/A</v>
      </c>
      <c r="G140" t="e">
        <f>VLOOKUP(A1,InvoicesData!$A$1:$DZU$1000000,2371,FALSE)</f>
        <v>#N/A</v>
      </c>
      <c r="H140" t="e">
        <f>VLOOKUP(A1,InvoicesData!$A$1:$DZU$1000000,2372,FALSE)</f>
        <v>#N/A</v>
      </c>
      <c r="I140" t="e">
        <f>VLOOKUP(A1,InvoicesData!$A$1:$DZU$1000000,2373,FALSE)</f>
        <v>#N/A</v>
      </c>
      <c r="J140" t="e">
        <f>VLOOKUP(A1,InvoicesData!$A$1:$DZU$1000000,2374,FALSE)</f>
        <v>#N/A</v>
      </c>
      <c r="K140" t="e">
        <f>VLOOKUP(A1,InvoicesData!$A$1:$DZU$1000000,2375,FALSE)</f>
        <v>#N/A</v>
      </c>
      <c r="L140" t="e">
        <f>VLOOKUP(A1,InvoicesData!$A$1:$DZU$1000000,2376,FALSE)</f>
        <v>#N/A</v>
      </c>
      <c r="M140" t="e">
        <f>VLOOKUP(A1,InvoicesData!$A$1:$DZU$1000000,2377,FALSE)</f>
        <v>#N/A</v>
      </c>
      <c r="N140" t="e">
        <f>VLOOKUP(A1,InvoicesData!$A$1:$DZU$1000000,2378,FALSE)</f>
        <v>#N/A</v>
      </c>
      <c r="O140" t="e">
        <f>VLOOKUP(A1,InvoicesData!$A$1:$DZU$1000000,2379,FALSE)</f>
        <v>#N/A</v>
      </c>
      <c r="P140" t="e">
        <f>VLOOKUP(A1,InvoicesData!$A$1:$DZU$1000000,2380,FALSE)</f>
        <v>#N/A</v>
      </c>
      <c r="Q140" t="e">
        <f>VLOOKUP(A1,InvoicesData!$A$1:$DZU$1000000,2381,FALSE)</f>
        <v>#N/A</v>
      </c>
    </row>
    <row r="141" spans="1:17">
      <c r="A141" t="e">
        <f>VLOOKUP(A1,InvoicesData!$A$1:$DZU$1000000,2382,FALSE)</f>
        <v>#N/A</v>
      </c>
      <c r="B141" t="e">
        <f>VLOOKUP(A1,InvoicesData!$A$1:$DZU$1000000,2383,FALSE)</f>
        <v>#N/A</v>
      </c>
      <c r="C141" t="e">
        <f>VLOOKUP(A1,InvoicesData!$A$1:$DZU$1000000,2384,FALSE)</f>
        <v>#N/A</v>
      </c>
      <c r="D141" t="e">
        <f>VLOOKUP(A1,InvoicesData!$A$1:$DZU$1000000,2385,FALSE)</f>
        <v>#N/A</v>
      </c>
      <c r="E141" t="e">
        <f>VLOOKUP(A1,InvoicesData!$A$1:$DZU$1000000,2386,FALSE)</f>
        <v>#N/A</v>
      </c>
      <c r="F141" t="e">
        <f>VLOOKUP(A1,InvoicesData!$A$1:$DZU$1000000,2387,FALSE)</f>
        <v>#N/A</v>
      </c>
      <c r="G141" t="e">
        <f>VLOOKUP(A1,InvoicesData!$A$1:$DZU$1000000,2388,FALSE)</f>
        <v>#N/A</v>
      </c>
      <c r="H141" t="e">
        <f>VLOOKUP(A1,InvoicesData!$A$1:$DZU$1000000,2389,FALSE)</f>
        <v>#N/A</v>
      </c>
      <c r="I141" t="e">
        <f>VLOOKUP(A1,InvoicesData!$A$1:$DZU$1000000,2390,FALSE)</f>
        <v>#N/A</v>
      </c>
      <c r="J141" t="e">
        <f>VLOOKUP(A1,InvoicesData!$A$1:$DZU$1000000,2391,FALSE)</f>
        <v>#N/A</v>
      </c>
      <c r="K141" t="e">
        <f>VLOOKUP(A1,InvoicesData!$A$1:$DZU$1000000,2392,FALSE)</f>
        <v>#N/A</v>
      </c>
      <c r="L141" t="e">
        <f>VLOOKUP(A1,InvoicesData!$A$1:$DZU$1000000,2393,FALSE)</f>
        <v>#N/A</v>
      </c>
      <c r="M141" t="e">
        <f>VLOOKUP(A1,InvoicesData!$A$1:$DZU$1000000,2394,FALSE)</f>
        <v>#N/A</v>
      </c>
      <c r="N141" t="e">
        <f>VLOOKUP(A1,InvoicesData!$A$1:$DZU$1000000,2395,FALSE)</f>
        <v>#N/A</v>
      </c>
      <c r="O141" t="e">
        <f>VLOOKUP(A1,InvoicesData!$A$1:$DZU$1000000,2396,FALSE)</f>
        <v>#N/A</v>
      </c>
      <c r="P141" t="e">
        <f>VLOOKUP(A1,InvoicesData!$A$1:$DZU$1000000,2397,FALSE)</f>
        <v>#N/A</v>
      </c>
      <c r="Q141" t="e">
        <f>VLOOKUP(A1,InvoicesData!$A$1:$DZU$1000000,2398,FALSE)</f>
        <v>#N/A</v>
      </c>
    </row>
    <row r="142" spans="1:17">
      <c r="A142" t="e">
        <f>VLOOKUP(A1,InvoicesData!$A$1:$DZU$1000000,2399,FALSE)</f>
        <v>#N/A</v>
      </c>
      <c r="B142" t="e">
        <f>VLOOKUP(A1,InvoicesData!$A$1:$DZU$1000000,2400,FALSE)</f>
        <v>#N/A</v>
      </c>
      <c r="C142" t="e">
        <f>VLOOKUP(A1,InvoicesData!$A$1:$DZU$1000000,2401,FALSE)</f>
        <v>#N/A</v>
      </c>
      <c r="D142" t="e">
        <f>VLOOKUP(A1,InvoicesData!$A$1:$DZU$1000000,2402,FALSE)</f>
        <v>#N/A</v>
      </c>
      <c r="E142" t="e">
        <f>VLOOKUP(A1,InvoicesData!$A$1:$DZU$1000000,2403,FALSE)</f>
        <v>#N/A</v>
      </c>
      <c r="F142" t="e">
        <f>VLOOKUP(A1,InvoicesData!$A$1:$DZU$1000000,2404,FALSE)</f>
        <v>#N/A</v>
      </c>
      <c r="G142" t="e">
        <f>VLOOKUP(A1,InvoicesData!$A$1:$DZU$1000000,2405,FALSE)</f>
        <v>#N/A</v>
      </c>
      <c r="H142" t="e">
        <f>VLOOKUP(A1,InvoicesData!$A$1:$DZU$1000000,2406,FALSE)</f>
        <v>#N/A</v>
      </c>
      <c r="I142" t="e">
        <f>VLOOKUP(A1,InvoicesData!$A$1:$DZU$1000000,2407,FALSE)</f>
        <v>#N/A</v>
      </c>
      <c r="J142" t="e">
        <f>VLOOKUP(A1,InvoicesData!$A$1:$DZU$1000000,2408,FALSE)</f>
        <v>#N/A</v>
      </c>
      <c r="K142" t="e">
        <f>VLOOKUP(A1,InvoicesData!$A$1:$DZU$1000000,2409,FALSE)</f>
        <v>#N/A</v>
      </c>
      <c r="L142" t="e">
        <f>VLOOKUP(A1,InvoicesData!$A$1:$DZU$1000000,2410,FALSE)</f>
        <v>#N/A</v>
      </c>
      <c r="M142" t="e">
        <f>VLOOKUP(A1,InvoicesData!$A$1:$DZU$1000000,2411,FALSE)</f>
        <v>#N/A</v>
      </c>
      <c r="N142" t="e">
        <f>VLOOKUP(A1,InvoicesData!$A$1:$DZU$1000000,2412,FALSE)</f>
        <v>#N/A</v>
      </c>
      <c r="O142" t="e">
        <f>VLOOKUP(A1,InvoicesData!$A$1:$DZU$1000000,2413,FALSE)</f>
        <v>#N/A</v>
      </c>
      <c r="P142" t="e">
        <f>VLOOKUP(A1,InvoicesData!$A$1:$DZU$1000000,2414,FALSE)</f>
        <v>#N/A</v>
      </c>
      <c r="Q142" t="e">
        <f>VLOOKUP(A1,InvoicesData!$A$1:$DZU$1000000,2415,FALSE)</f>
        <v>#N/A</v>
      </c>
    </row>
    <row r="143" spans="1:17">
      <c r="A143" t="e">
        <f>VLOOKUP(A1,InvoicesData!$A$1:$DZU$1000000,2416,FALSE)</f>
        <v>#N/A</v>
      </c>
      <c r="B143" t="e">
        <f>VLOOKUP(A1,InvoicesData!$A$1:$DZU$1000000,2417,FALSE)</f>
        <v>#N/A</v>
      </c>
      <c r="C143" t="e">
        <f>VLOOKUP(A1,InvoicesData!$A$1:$DZU$1000000,2418,FALSE)</f>
        <v>#N/A</v>
      </c>
      <c r="D143" t="e">
        <f>VLOOKUP(A1,InvoicesData!$A$1:$DZU$1000000,2419,FALSE)</f>
        <v>#N/A</v>
      </c>
      <c r="E143" t="e">
        <f>VLOOKUP(A1,InvoicesData!$A$1:$DZU$1000000,2420,FALSE)</f>
        <v>#N/A</v>
      </c>
      <c r="F143" t="e">
        <f>VLOOKUP(A1,InvoicesData!$A$1:$DZU$1000000,2421,FALSE)</f>
        <v>#N/A</v>
      </c>
      <c r="G143" t="e">
        <f>VLOOKUP(A1,InvoicesData!$A$1:$DZU$1000000,2422,FALSE)</f>
        <v>#N/A</v>
      </c>
      <c r="H143" t="e">
        <f>VLOOKUP(A1,InvoicesData!$A$1:$DZU$1000000,2423,FALSE)</f>
        <v>#N/A</v>
      </c>
      <c r="I143" t="e">
        <f>VLOOKUP(A1,InvoicesData!$A$1:$DZU$1000000,2424,FALSE)</f>
        <v>#N/A</v>
      </c>
      <c r="J143" t="e">
        <f>VLOOKUP(A1,InvoicesData!$A$1:$DZU$1000000,2425,FALSE)</f>
        <v>#N/A</v>
      </c>
      <c r="K143" t="e">
        <f>VLOOKUP(A1,InvoicesData!$A$1:$DZU$1000000,2426,FALSE)</f>
        <v>#N/A</v>
      </c>
      <c r="L143" t="e">
        <f>VLOOKUP(A1,InvoicesData!$A$1:$DZU$1000000,2427,FALSE)</f>
        <v>#N/A</v>
      </c>
      <c r="M143" t="e">
        <f>VLOOKUP(A1,InvoicesData!$A$1:$DZU$1000000,2428,FALSE)</f>
        <v>#N/A</v>
      </c>
      <c r="N143" t="e">
        <f>VLOOKUP(A1,InvoicesData!$A$1:$DZU$1000000,2429,FALSE)</f>
        <v>#N/A</v>
      </c>
      <c r="O143" t="e">
        <f>VLOOKUP(A1,InvoicesData!$A$1:$DZU$1000000,2430,FALSE)</f>
        <v>#N/A</v>
      </c>
      <c r="P143" t="e">
        <f>VLOOKUP(A1,InvoicesData!$A$1:$DZU$1000000,2431,FALSE)</f>
        <v>#N/A</v>
      </c>
      <c r="Q143" t="e">
        <f>VLOOKUP(A1,InvoicesData!$A$1:$DZU$1000000,2432,FALSE)</f>
        <v>#N/A</v>
      </c>
    </row>
    <row r="144" spans="1:17">
      <c r="A144" t="e">
        <f>VLOOKUP(A1,InvoicesData!$A$1:$DZU$1000000,2433,FALSE)</f>
        <v>#N/A</v>
      </c>
      <c r="B144" t="e">
        <f>VLOOKUP(A1,InvoicesData!$A$1:$DZU$1000000,2434,FALSE)</f>
        <v>#N/A</v>
      </c>
      <c r="C144" t="e">
        <f>VLOOKUP(A1,InvoicesData!$A$1:$DZU$1000000,2435,FALSE)</f>
        <v>#N/A</v>
      </c>
      <c r="D144" t="e">
        <f>VLOOKUP(A1,InvoicesData!$A$1:$DZU$1000000,2436,FALSE)</f>
        <v>#N/A</v>
      </c>
      <c r="E144" t="e">
        <f>VLOOKUP(A1,InvoicesData!$A$1:$DZU$1000000,2437,FALSE)</f>
        <v>#N/A</v>
      </c>
      <c r="F144" t="e">
        <f>VLOOKUP(A1,InvoicesData!$A$1:$DZU$1000000,2438,FALSE)</f>
        <v>#N/A</v>
      </c>
      <c r="G144" t="e">
        <f>VLOOKUP(A1,InvoicesData!$A$1:$DZU$1000000,2439,FALSE)</f>
        <v>#N/A</v>
      </c>
      <c r="H144" t="e">
        <f>VLOOKUP(A1,InvoicesData!$A$1:$DZU$1000000,2440,FALSE)</f>
        <v>#N/A</v>
      </c>
      <c r="I144" t="e">
        <f>VLOOKUP(A1,InvoicesData!$A$1:$DZU$1000000,2441,FALSE)</f>
        <v>#N/A</v>
      </c>
      <c r="J144" t="e">
        <f>VLOOKUP(A1,InvoicesData!$A$1:$DZU$1000000,2442,FALSE)</f>
        <v>#N/A</v>
      </c>
      <c r="K144" t="e">
        <f>VLOOKUP(A1,InvoicesData!$A$1:$DZU$1000000,2443,FALSE)</f>
        <v>#N/A</v>
      </c>
      <c r="L144" t="e">
        <f>VLOOKUP(A1,InvoicesData!$A$1:$DZU$1000000,2444,FALSE)</f>
        <v>#N/A</v>
      </c>
      <c r="M144" t="e">
        <f>VLOOKUP(A1,InvoicesData!$A$1:$DZU$1000000,2445,FALSE)</f>
        <v>#N/A</v>
      </c>
      <c r="N144" t="e">
        <f>VLOOKUP(A1,InvoicesData!$A$1:$DZU$1000000,2446,FALSE)</f>
        <v>#N/A</v>
      </c>
      <c r="O144" t="e">
        <f>VLOOKUP(A1,InvoicesData!$A$1:$DZU$1000000,2447,FALSE)</f>
        <v>#N/A</v>
      </c>
      <c r="P144" t="e">
        <f>VLOOKUP(A1,InvoicesData!$A$1:$DZU$1000000,2448,FALSE)</f>
        <v>#N/A</v>
      </c>
      <c r="Q144" t="e">
        <f>VLOOKUP(A1,InvoicesData!$A$1:$DZU$1000000,2449,FALSE)</f>
        <v>#N/A</v>
      </c>
    </row>
    <row r="145" spans="1:17">
      <c r="A145" t="e">
        <f>VLOOKUP(A1,InvoicesData!$A$1:$DZU$1000000,2450,FALSE)</f>
        <v>#N/A</v>
      </c>
      <c r="B145" t="e">
        <f>VLOOKUP(A1,InvoicesData!$A$1:$DZU$1000000,2451,FALSE)</f>
        <v>#N/A</v>
      </c>
      <c r="C145" t="e">
        <f>VLOOKUP(A1,InvoicesData!$A$1:$DZU$1000000,2452,FALSE)</f>
        <v>#N/A</v>
      </c>
      <c r="D145" t="e">
        <f>VLOOKUP(A1,InvoicesData!$A$1:$DZU$1000000,2453,FALSE)</f>
        <v>#N/A</v>
      </c>
      <c r="E145" t="e">
        <f>VLOOKUP(A1,InvoicesData!$A$1:$DZU$1000000,2454,FALSE)</f>
        <v>#N/A</v>
      </c>
      <c r="F145" t="e">
        <f>VLOOKUP(A1,InvoicesData!$A$1:$DZU$1000000,2455,FALSE)</f>
        <v>#N/A</v>
      </c>
      <c r="G145" t="e">
        <f>VLOOKUP(A1,InvoicesData!$A$1:$DZU$1000000,2456,FALSE)</f>
        <v>#N/A</v>
      </c>
      <c r="H145" t="e">
        <f>VLOOKUP(A1,InvoicesData!$A$1:$DZU$1000000,2457,FALSE)</f>
        <v>#N/A</v>
      </c>
      <c r="I145" t="e">
        <f>VLOOKUP(A1,InvoicesData!$A$1:$DZU$1000000,2458,FALSE)</f>
        <v>#N/A</v>
      </c>
      <c r="J145" t="e">
        <f>VLOOKUP(A1,InvoicesData!$A$1:$DZU$1000000,2459,FALSE)</f>
        <v>#N/A</v>
      </c>
      <c r="K145" t="e">
        <f>VLOOKUP(A1,InvoicesData!$A$1:$DZU$1000000,2460,FALSE)</f>
        <v>#N/A</v>
      </c>
      <c r="L145" t="e">
        <f>VLOOKUP(A1,InvoicesData!$A$1:$DZU$1000000,2461,FALSE)</f>
        <v>#N/A</v>
      </c>
      <c r="M145" t="e">
        <f>VLOOKUP(A1,InvoicesData!$A$1:$DZU$1000000,2462,FALSE)</f>
        <v>#N/A</v>
      </c>
      <c r="N145" t="e">
        <f>VLOOKUP(A1,InvoicesData!$A$1:$DZU$1000000,2463,FALSE)</f>
        <v>#N/A</v>
      </c>
      <c r="O145" t="e">
        <f>VLOOKUP(A1,InvoicesData!$A$1:$DZU$1000000,2464,FALSE)</f>
        <v>#N/A</v>
      </c>
      <c r="P145" t="e">
        <f>VLOOKUP(A1,InvoicesData!$A$1:$DZU$1000000,2465,FALSE)</f>
        <v>#N/A</v>
      </c>
      <c r="Q145" t="e">
        <f>VLOOKUP(A1,InvoicesData!$A$1:$DZU$1000000,2466,FALSE)</f>
        <v>#N/A</v>
      </c>
    </row>
    <row r="146" spans="1:17">
      <c r="A146" t="e">
        <f>VLOOKUP(A1,InvoicesData!$A$1:$DZU$1000000,2467,FALSE)</f>
        <v>#N/A</v>
      </c>
      <c r="B146" t="e">
        <f>VLOOKUP(A1,InvoicesData!$A$1:$DZU$1000000,2468,FALSE)</f>
        <v>#N/A</v>
      </c>
      <c r="C146" t="e">
        <f>VLOOKUP(A1,InvoicesData!$A$1:$DZU$1000000,2469,FALSE)</f>
        <v>#N/A</v>
      </c>
      <c r="D146" t="e">
        <f>VLOOKUP(A1,InvoicesData!$A$1:$DZU$1000000,2470,FALSE)</f>
        <v>#N/A</v>
      </c>
      <c r="E146" t="e">
        <f>VLOOKUP(A1,InvoicesData!$A$1:$DZU$1000000,2471,FALSE)</f>
        <v>#N/A</v>
      </c>
      <c r="F146" t="e">
        <f>VLOOKUP(A1,InvoicesData!$A$1:$DZU$1000000,2472,FALSE)</f>
        <v>#N/A</v>
      </c>
      <c r="G146" t="e">
        <f>VLOOKUP(A1,InvoicesData!$A$1:$DZU$1000000,2473,FALSE)</f>
        <v>#N/A</v>
      </c>
      <c r="H146" t="e">
        <f>VLOOKUP(A1,InvoicesData!$A$1:$DZU$1000000,2474,FALSE)</f>
        <v>#N/A</v>
      </c>
      <c r="I146" t="e">
        <f>VLOOKUP(A1,InvoicesData!$A$1:$DZU$1000000,2475,FALSE)</f>
        <v>#N/A</v>
      </c>
      <c r="J146" t="e">
        <f>VLOOKUP(A1,InvoicesData!$A$1:$DZU$1000000,2476,FALSE)</f>
        <v>#N/A</v>
      </c>
      <c r="K146" t="e">
        <f>VLOOKUP(A1,InvoicesData!$A$1:$DZU$1000000,2477,FALSE)</f>
        <v>#N/A</v>
      </c>
      <c r="L146" t="e">
        <f>VLOOKUP(A1,InvoicesData!$A$1:$DZU$1000000,2478,FALSE)</f>
        <v>#N/A</v>
      </c>
      <c r="M146" t="e">
        <f>VLOOKUP(A1,InvoicesData!$A$1:$DZU$1000000,2479,FALSE)</f>
        <v>#N/A</v>
      </c>
      <c r="N146" t="e">
        <f>VLOOKUP(A1,InvoicesData!$A$1:$DZU$1000000,2480,FALSE)</f>
        <v>#N/A</v>
      </c>
      <c r="O146" t="e">
        <f>VLOOKUP(A1,InvoicesData!$A$1:$DZU$1000000,2481,FALSE)</f>
        <v>#N/A</v>
      </c>
      <c r="P146" t="e">
        <f>VLOOKUP(A1,InvoicesData!$A$1:$DZU$1000000,2482,FALSE)</f>
        <v>#N/A</v>
      </c>
      <c r="Q146" t="e">
        <f>VLOOKUP(A1,InvoicesData!$A$1:$DZU$1000000,2483,FALSE)</f>
        <v>#N/A</v>
      </c>
    </row>
    <row r="147" spans="1:17">
      <c r="A147" t="e">
        <f>VLOOKUP(A1,InvoicesData!$A$1:$DZU$1000000,2484,FALSE)</f>
        <v>#N/A</v>
      </c>
      <c r="B147" t="e">
        <f>VLOOKUP(A1,InvoicesData!$A$1:$DZU$1000000,2485,FALSE)</f>
        <v>#N/A</v>
      </c>
      <c r="C147" t="e">
        <f>VLOOKUP(A1,InvoicesData!$A$1:$DZU$1000000,2486,FALSE)</f>
        <v>#N/A</v>
      </c>
      <c r="D147" t="e">
        <f>VLOOKUP(A1,InvoicesData!$A$1:$DZU$1000000,2487,FALSE)</f>
        <v>#N/A</v>
      </c>
      <c r="E147" t="e">
        <f>VLOOKUP(A1,InvoicesData!$A$1:$DZU$1000000,2488,FALSE)</f>
        <v>#N/A</v>
      </c>
      <c r="F147" t="e">
        <f>VLOOKUP(A1,InvoicesData!$A$1:$DZU$1000000,2489,FALSE)</f>
        <v>#N/A</v>
      </c>
      <c r="G147" t="e">
        <f>VLOOKUP(A1,InvoicesData!$A$1:$DZU$1000000,2490,FALSE)</f>
        <v>#N/A</v>
      </c>
      <c r="H147" t="e">
        <f>VLOOKUP(A1,InvoicesData!$A$1:$DZU$1000000,2491,FALSE)</f>
        <v>#N/A</v>
      </c>
      <c r="I147" t="e">
        <f>VLOOKUP(A1,InvoicesData!$A$1:$DZU$1000000,2492,FALSE)</f>
        <v>#N/A</v>
      </c>
      <c r="J147" t="e">
        <f>VLOOKUP(A1,InvoicesData!$A$1:$DZU$1000000,2493,FALSE)</f>
        <v>#N/A</v>
      </c>
      <c r="K147" t="e">
        <f>VLOOKUP(A1,InvoicesData!$A$1:$DZU$1000000,2494,FALSE)</f>
        <v>#N/A</v>
      </c>
      <c r="L147" t="e">
        <f>VLOOKUP(A1,InvoicesData!$A$1:$DZU$1000000,2495,FALSE)</f>
        <v>#N/A</v>
      </c>
      <c r="M147" t="e">
        <f>VLOOKUP(A1,InvoicesData!$A$1:$DZU$1000000,2496,FALSE)</f>
        <v>#N/A</v>
      </c>
      <c r="N147" t="e">
        <f>VLOOKUP(A1,InvoicesData!$A$1:$DZU$1000000,2497,FALSE)</f>
        <v>#N/A</v>
      </c>
      <c r="O147" t="e">
        <f>VLOOKUP(A1,InvoicesData!$A$1:$DZU$1000000,2498,FALSE)</f>
        <v>#N/A</v>
      </c>
      <c r="P147" t="e">
        <f>VLOOKUP(A1,InvoicesData!$A$1:$DZU$1000000,2499,FALSE)</f>
        <v>#N/A</v>
      </c>
      <c r="Q147" t="e">
        <f>VLOOKUP(A1,InvoicesData!$A$1:$DZU$1000000,2500,FALSE)</f>
        <v>#N/A</v>
      </c>
    </row>
    <row r="148" spans="1:17">
      <c r="A148" t="e">
        <f>VLOOKUP(A1,InvoicesData!$A$1:$DZU$1000000,2501,FALSE)</f>
        <v>#N/A</v>
      </c>
      <c r="B148" t="e">
        <f>VLOOKUP(A1,InvoicesData!$A$1:$DZU$1000000,2502,FALSE)</f>
        <v>#N/A</v>
      </c>
      <c r="C148" t="e">
        <f>VLOOKUP(A1,InvoicesData!$A$1:$DZU$1000000,2503,FALSE)</f>
        <v>#N/A</v>
      </c>
      <c r="D148" t="e">
        <f>VLOOKUP(A1,InvoicesData!$A$1:$DZU$1000000,2504,FALSE)</f>
        <v>#N/A</v>
      </c>
      <c r="E148" t="e">
        <f>VLOOKUP(A1,InvoicesData!$A$1:$DZU$1000000,2505,FALSE)</f>
        <v>#N/A</v>
      </c>
      <c r="F148" t="e">
        <f>VLOOKUP(A1,InvoicesData!$A$1:$DZU$1000000,2506,FALSE)</f>
        <v>#N/A</v>
      </c>
      <c r="G148" t="e">
        <f>VLOOKUP(A1,InvoicesData!$A$1:$DZU$1000000,2507,FALSE)</f>
        <v>#N/A</v>
      </c>
      <c r="H148" t="e">
        <f>VLOOKUP(A1,InvoicesData!$A$1:$DZU$1000000,2508,FALSE)</f>
        <v>#N/A</v>
      </c>
      <c r="I148" t="e">
        <f>VLOOKUP(A1,InvoicesData!$A$1:$DZU$1000000,2509,FALSE)</f>
        <v>#N/A</v>
      </c>
      <c r="J148" t="e">
        <f>VLOOKUP(A1,InvoicesData!$A$1:$DZU$1000000,2510,FALSE)</f>
        <v>#N/A</v>
      </c>
      <c r="K148" t="e">
        <f>VLOOKUP(A1,InvoicesData!$A$1:$DZU$1000000,2511,FALSE)</f>
        <v>#N/A</v>
      </c>
      <c r="L148" t="e">
        <f>VLOOKUP(A1,InvoicesData!$A$1:$DZU$1000000,2512,FALSE)</f>
        <v>#N/A</v>
      </c>
      <c r="M148" t="e">
        <f>VLOOKUP(A1,InvoicesData!$A$1:$DZU$1000000,2513,FALSE)</f>
        <v>#N/A</v>
      </c>
      <c r="N148" t="e">
        <f>VLOOKUP(A1,InvoicesData!$A$1:$DZU$1000000,2514,FALSE)</f>
        <v>#N/A</v>
      </c>
      <c r="O148" t="e">
        <f>VLOOKUP(A1,InvoicesData!$A$1:$DZU$1000000,2515,FALSE)</f>
        <v>#N/A</v>
      </c>
      <c r="P148" t="e">
        <f>VLOOKUP(A1,InvoicesData!$A$1:$DZU$1000000,2516,FALSE)</f>
        <v>#N/A</v>
      </c>
      <c r="Q148" t="e">
        <f>VLOOKUP(A1,InvoicesData!$A$1:$DZU$1000000,2517,FALSE)</f>
        <v>#N/A</v>
      </c>
    </row>
    <row r="149" spans="1:17">
      <c r="A149" t="e">
        <f>VLOOKUP(A1,InvoicesData!$A$1:$DZU$1000000,2518,FALSE)</f>
        <v>#N/A</v>
      </c>
      <c r="B149" t="e">
        <f>VLOOKUP(A1,InvoicesData!$A$1:$DZU$1000000,2519,FALSE)</f>
        <v>#N/A</v>
      </c>
      <c r="C149" t="e">
        <f>VLOOKUP(A1,InvoicesData!$A$1:$DZU$1000000,2520,FALSE)</f>
        <v>#N/A</v>
      </c>
      <c r="D149" t="e">
        <f>VLOOKUP(A1,InvoicesData!$A$1:$DZU$1000000,2521,FALSE)</f>
        <v>#N/A</v>
      </c>
      <c r="E149" t="e">
        <f>VLOOKUP(A1,InvoicesData!$A$1:$DZU$1000000,2522,FALSE)</f>
        <v>#N/A</v>
      </c>
      <c r="F149" t="e">
        <f>VLOOKUP(A1,InvoicesData!$A$1:$DZU$1000000,2523,FALSE)</f>
        <v>#N/A</v>
      </c>
      <c r="G149" t="e">
        <f>VLOOKUP(A1,InvoicesData!$A$1:$DZU$1000000,2524,FALSE)</f>
        <v>#N/A</v>
      </c>
      <c r="H149" t="e">
        <f>VLOOKUP(A1,InvoicesData!$A$1:$DZU$1000000,2525,FALSE)</f>
        <v>#N/A</v>
      </c>
      <c r="I149" t="e">
        <f>VLOOKUP(A1,InvoicesData!$A$1:$DZU$1000000,2526,FALSE)</f>
        <v>#N/A</v>
      </c>
      <c r="J149" t="e">
        <f>VLOOKUP(A1,InvoicesData!$A$1:$DZU$1000000,2527,FALSE)</f>
        <v>#N/A</v>
      </c>
      <c r="K149" t="e">
        <f>VLOOKUP(A1,InvoicesData!$A$1:$DZU$1000000,2528,FALSE)</f>
        <v>#N/A</v>
      </c>
      <c r="L149" t="e">
        <f>VLOOKUP(A1,InvoicesData!$A$1:$DZU$1000000,2529,FALSE)</f>
        <v>#N/A</v>
      </c>
      <c r="M149" t="e">
        <f>VLOOKUP(A1,InvoicesData!$A$1:$DZU$1000000,2530,FALSE)</f>
        <v>#N/A</v>
      </c>
      <c r="N149" t="e">
        <f>VLOOKUP(A1,InvoicesData!$A$1:$DZU$1000000,2531,FALSE)</f>
        <v>#N/A</v>
      </c>
      <c r="O149" t="e">
        <f>VLOOKUP(A1,InvoicesData!$A$1:$DZU$1000000,2532,FALSE)</f>
        <v>#N/A</v>
      </c>
      <c r="P149" t="e">
        <f>VLOOKUP(A1,InvoicesData!$A$1:$DZU$1000000,2533,FALSE)</f>
        <v>#N/A</v>
      </c>
      <c r="Q149" t="e">
        <f>VLOOKUP(A1,InvoicesData!$A$1:$DZU$1000000,2534,FALSE)</f>
        <v>#N/A</v>
      </c>
    </row>
    <row r="150" spans="1:17">
      <c r="A150" t="e">
        <f>VLOOKUP(A1,InvoicesData!$A$1:$DZU$1000000,2535,FALSE)</f>
        <v>#N/A</v>
      </c>
      <c r="B150" t="e">
        <f>VLOOKUP(A1,InvoicesData!$A$1:$DZU$1000000,2536,FALSE)</f>
        <v>#N/A</v>
      </c>
      <c r="C150" t="e">
        <f>VLOOKUP(A1,InvoicesData!$A$1:$DZU$1000000,2537,FALSE)</f>
        <v>#N/A</v>
      </c>
      <c r="D150" t="e">
        <f>VLOOKUP(A1,InvoicesData!$A$1:$DZU$1000000,2538,FALSE)</f>
        <v>#N/A</v>
      </c>
      <c r="E150" t="e">
        <f>VLOOKUP(A1,InvoicesData!$A$1:$DZU$1000000,2539,FALSE)</f>
        <v>#N/A</v>
      </c>
      <c r="F150" t="e">
        <f>VLOOKUP(A1,InvoicesData!$A$1:$DZU$1000000,2540,FALSE)</f>
        <v>#N/A</v>
      </c>
      <c r="G150" t="e">
        <f>VLOOKUP(A1,InvoicesData!$A$1:$DZU$1000000,2541,FALSE)</f>
        <v>#N/A</v>
      </c>
      <c r="H150" t="e">
        <f>VLOOKUP(A1,InvoicesData!$A$1:$DZU$1000000,2542,FALSE)</f>
        <v>#N/A</v>
      </c>
      <c r="I150" t="e">
        <f>VLOOKUP(A1,InvoicesData!$A$1:$DZU$1000000,2543,FALSE)</f>
        <v>#N/A</v>
      </c>
      <c r="J150" t="e">
        <f>VLOOKUP(A1,InvoicesData!$A$1:$DZU$1000000,2544,FALSE)</f>
        <v>#N/A</v>
      </c>
      <c r="K150" t="e">
        <f>VLOOKUP(A1,InvoicesData!$A$1:$DZU$1000000,2545,FALSE)</f>
        <v>#N/A</v>
      </c>
      <c r="L150" t="e">
        <f>VLOOKUP(A1,InvoicesData!$A$1:$DZU$1000000,2546,FALSE)</f>
        <v>#N/A</v>
      </c>
      <c r="M150" t="e">
        <f>VLOOKUP(A1,InvoicesData!$A$1:$DZU$1000000,2547,FALSE)</f>
        <v>#N/A</v>
      </c>
      <c r="N150" t="e">
        <f>VLOOKUP(A1,InvoicesData!$A$1:$DZU$1000000,2548,FALSE)</f>
        <v>#N/A</v>
      </c>
      <c r="O150" t="e">
        <f>VLOOKUP(A1,InvoicesData!$A$1:$DZU$1000000,2549,FALSE)</f>
        <v>#N/A</v>
      </c>
      <c r="P150" t="e">
        <f>VLOOKUP(A1,InvoicesData!$A$1:$DZU$1000000,2550,FALSE)</f>
        <v>#N/A</v>
      </c>
      <c r="Q150" t="e">
        <f>VLOOKUP(A1,InvoicesData!$A$1:$DZU$1000000,2551,FALSE)</f>
        <v>#N/A</v>
      </c>
    </row>
    <row r="151" spans="1:17">
      <c r="A151" t="e">
        <f>VLOOKUP(A1,InvoicesData!$A$1:$DZU$1000000,2552,FALSE)</f>
        <v>#N/A</v>
      </c>
      <c r="B151" t="e">
        <f>VLOOKUP(A1,InvoicesData!$A$1:$DZU$1000000,2553,FALSE)</f>
        <v>#N/A</v>
      </c>
      <c r="C151" t="e">
        <f>VLOOKUP(A1,InvoicesData!$A$1:$DZU$1000000,2554,FALSE)</f>
        <v>#N/A</v>
      </c>
      <c r="D151" t="e">
        <f>VLOOKUP(A1,InvoicesData!$A$1:$DZU$1000000,2555,FALSE)</f>
        <v>#N/A</v>
      </c>
      <c r="E151" t="e">
        <f>VLOOKUP(A1,InvoicesData!$A$1:$DZU$1000000,2556,FALSE)</f>
        <v>#N/A</v>
      </c>
      <c r="F151" t="e">
        <f>VLOOKUP(A1,InvoicesData!$A$1:$DZU$1000000,2557,FALSE)</f>
        <v>#N/A</v>
      </c>
      <c r="G151" t="e">
        <f>VLOOKUP(A1,InvoicesData!$A$1:$DZU$1000000,2558,FALSE)</f>
        <v>#N/A</v>
      </c>
      <c r="H151" t="e">
        <f>VLOOKUP(A1,InvoicesData!$A$1:$DZU$1000000,2559,FALSE)</f>
        <v>#N/A</v>
      </c>
      <c r="I151" t="e">
        <f>VLOOKUP(A1,InvoicesData!$A$1:$DZU$1000000,2560,FALSE)</f>
        <v>#N/A</v>
      </c>
      <c r="J151" t="e">
        <f>VLOOKUP(A1,InvoicesData!$A$1:$DZU$1000000,2561,FALSE)</f>
        <v>#N/A</v>
      </c>
      <c r="K151" t="e">
        <f>VLOOKUP(A1,InvoicesData!$A$1:$DZU$1000000,2562,FALSE)</f>
        <v>#N/A</v>
      </c>
      <c r="L151" t="e">
        <f>VLOOKUP(A1,InvoicesData!$A$1:$DZU$1000000,2563,FALSE)</f>
        <v>#N/A</v>
      </c>
      <c r="M151" t="e">
        <f>VLOOKUP(A1,InvoicesData!$A$1:$DZU$1000000,2564,FALSE)</f>
        <v>#N/A</v>
      </c>
      <c r="N151" t="e">
        <f>VLOOKUP(A1,InvoicesData!$A$1:$DZU$1000000,2565,FALSE)</f>
        <v>#N/A</v>
      </c>
      <c r="O151" t="e">
        <f>VLOOKUP(A1,InvoicesData!$A$1:$DZU$1000000,2566,FALSE)</f>
        <v>#N/A</v>
      </c>
      <c r="P151" t="e">
        <f>VLOOKUP(A1,InvoicesData!$A$1:$DZU$1000000,2567,FALSE)</f>
        <v>#N/A</v>
      </c>
      <c r="Q151" t="e">
        <f>VLOOKUP(A1,InvoicesData!$A$1:$DZU$1000000,2568,FALSE)</f>
        <v>#N/A</v>
      </c>
    </row>
    <row r="152" spans="1:17">
      <c r="A152" t="e">
        <f>VLOOKUP(A1,InvoicesData!$A$1:$DZU$1000000,2569,FALSE)</f>
        <v>#N/A</v>
      </c>
      <c r="B152" t="e">
        <f>VLOOKUP(A1,InvoicesData!$A$1:$DZU$1000000,2570,FALSE)</f>
        <v>#N/A</v>
      </c>
      <c r="C152" t="e">
        <f>VLOOKUP(A1,InvoicesData!$A$1:$DZU$1000000,2571,FALSE)</f>
        <v>#N/A</v>
      </c>
      <c r="D152" t="e">
        <f>VLOOKUP(A1,InvoicesData!$A$1:$DZU$1000000,2572,FALSE)</f>
        <v>#N/A</v>
      </c>
      <c r="E152" t="e">
        <f>VLOOKUP(A1,InvoicesData!$A$1:$DZU$1000000,2573,FALSE)</f>
        <v>#N/A</v>
      </c>
      <c r="F152" t="e">
        <f>VLOOKUP(A1,InvoicesData!$A$1:$DZU$1000000,2574,FALSE)</f>
        <v>#N/A</v>
      </c>
      <c r="G152" t="e">
        <f>VLOOKUP(A1,InvoicesData!$A$1:$DZU$1000000,2575,FALSE)</f>
        <v>#N/A</v>
      </c>
      <c r="H152" t="e">
        <f>VLOOKUP(A1,InvoicesData!$A$1:$DZU$1000000,2576,FALSE)</f>
        <v>#N/A</v>
      </c>
      <c r="I152" t="e">
        <f>VLOOKUP(A1,InvoicesData!$A$1:$DZU$1000000,2577,FALSE)</f>
        <v>#N/A</v>
      </c>
      <c r="J152" t="e">
        <f>VLOOKUP(A1,InvoicesData!$A$1:$DZU$1000000,2578,FALSE)</f>
        <v>#N/A</v>
      </c>
      <c r="K152" t="e">
        <f>VLOOKUP(A1,InvoicesData!$A$1:$DZU$1000000,2579,FALSE)</f>
        <v>#N/A</v>
      </c>
      <c r="L152" t="e">
        <f>VLOOKUP(A1,InvoicesData!$A$1:$DZU$1000000,2580,FALSE)</f>
        <v>#N/A</v>
      </c>
      <c r="M152" t="e">
        <f>VLOOKUP(A1,InvoicesData!$A$1:$DZU$1000000,2581,FALSE)</f>
        <v>#N/A</v>
      </c>
      <c r="N152" t="e">
        <f>VLOOKUP(A1,InvoicesData!$A$1:$DZU$1000000,2582,FALSE)</f>
        <v>#N/A</v>
      </c>
      <c r="O152" t="e">
        <f>VLOOKUP(A1,InvoicesData!$A$1:$DZU$1000000,2583,FALSE)</f>
        <v>#N/A</v>
      </c>
      <c r="P152" t="e">
        <f>VLOOKUP(A1,InvoicesData!$A$1:$DZU$1000000,2584,FALSE)</f>
        <v>#N/A</v>
      </c>
      <c r="Q152" t="e">
        <f>VLOOKUP(A1,InvoicesData!$A$1:$DZU$1000000,2585,FALSE)</f>
        <v>#N/A</v>
      </c>
    </row>
    <row r="153" spans="1:17">
      <c r="A153" t="e">
        <f>VLOOKUP(A1,InvoicesData!$A$1:$DZU$1000000,2586,FALSE)</f>
        <v>#N/A</v>
      </c>
      <c r="B153" t="e">
        <f>VLOOKUP(A1,InvoicesData!$A$1:$DZU$1000000,2587,FALSE)</f>
        <v>#N/A</v>
      </c>
      <c r="C153" t="e">
        <f>VLOOKUP(A1,InvoicesData!$A$1:$DZU$1000000,2588,FALSE)</f>
        <v>#N/A</v>
      </c>
      <c r="D153" t="e">
        <f>VLOOKUP(A1,InvoicesData!$A$1:$DZU$1000000,2589,FALSE)</f>
        <v>#N/A</v>
      </c>
      <c r="E153" t="e">
        <f>VLOOKUP(A1,InvoicesData!$A$1:$DZU$1000000,2590,FALSE)</f>
        <v>#N/A</v>
      </c>
      <c r="F153" t="e">
        <f>VLOOKUP(A1,InvoicesData!$A$1:$DZU$1000000,2591,FALSE)</f>
        <v>#N/A</v>
      </c>
      <c r="G153" t="e">
        <f>VLOOKUP(A1,InvoicesData!$A$1:$DZU$1000000,2592,FALSE)</f>
        <v>#N/A</v>
      </c>
      <c r="H153" t="e">
        <f>VLOOKUP(A1,InvoicesData!$A$1:$DZU$1000000,2593,FALSE)</f>
        <v>#N/A</v>
      </c>
      <c r="I153" t="e">
        <f>VLOOKUP(A1,InvoicesData!$A$1:$DZU$1000000,2594,FALSE)</f>
        <v>#N/A</v>
      </c>
      <c r="J153" t="e">
        <f>VLOOKUP(A1,InvoicesData!$A$1:$DZU$1000000,2595,FALSE)</f>
        <v>#N/A</v>
      </c>
      <c r="K153" t="e">
        <f>VLOOKUP(A1,InvoicesData!$A$1:$DZU$1000000,2596,FALSE)</f>
        <v>#N/A</v>
      </c>
      <c r="L153" t="e">
        <f>VLOOKUP(A1,InvoicesData!$A$1:$DZU$1000000,2597,FALSE)</f>
        <v>#N/A</v>
      </c>
      <c r="M153" t="e">
        <f>VLOOKUP(A1,InvoicesData!$A$1:$DZU$1000000,2598,FALSE)</f>
        <v>#N/A</v>
      </c>
      <c r="N153" t="e">
        <f>VLOOKUP(A1,InvoicesData!$A$1:$DZU$1000000,2599,FALSE)</f>
        <v>#N/A</v>
      </c>
      <c r="O153" t="e">
        <f>VLOOKUP(A1,InvoicesData!$A$1:$DZU$1000000,2600,FALSE)</f>
        <v>#N/A</v>
      </c>
      <c r="P153" t="e">
        <f>VLOOKUP(A1,InvoicesData!$A$1:$DZU$1000000,2601,FALSE)</f>
        <v>#N/A</v>
      </c>
      <c r="Q153" t="e">
        <f>VLOOKUP(A1,InvoicesData!$A$1:$DZU$1000000,2602,FALSE)</f>
        <v>#N/A</v>
      </c>
    </row>
    <row r="154" spans="1:17">
      <c r="A154" t="e">
        <f>VLOOKUP(A1,InvoicesData!$A$1:$DZU$1000000,2603,FALSE)</f>
        <v>#N/A</v>
      </c>
      <c r="B154" t="e">
        <f>VLOOKUP(A1,InvoicesData!$A$1:$DZU$1000000,2604,FALSE)</f>
        <v>#N/A</v>
      </c>
      <c r="C154" t="e">
        <f>VLOOKUP(A1,InvoicesData!$A$1:$DZU$1000000,2605,FALSE)</f>
        <v>#N/A</v>
      </c>
      <c r="D154" t="e">
        <f>VLOOKUP(A1,InvoicesData!$A$1:$DZU$1000000,2606,FALSE)</f>
        <v>#N/A</v>
      </c>
      <c r="E154" t="e">
        <f>VLOOKUP(A1,InvoicesData!$A$1:$DZU$1000000,2607,FALSE)</f>
        <v>#N/A</v>
      </c>
      <c r="F154" t="e">
        <f>VLOOKUP(A1,InvoicesData!$A$1:$DZU$1000000,2608,FALSE)</f>
        <v>#N/A</v>
      </c>
      <c r="G154" t="e">
        <f>VLOOKUP(A1,InvoicesData!$A$1:$DZU$1000000,2609,FALSE)</f>
        <v>#N/A</v>
      </c>
      <c r="H154" t="e">
        <f>VLOOKUP(A1,InvoicesData!$A$1:$DZU$1000000,2610,FALSE)</f>
        <v>#N/A</v>
      </c>
      <c r="I154" t="e">
        <f>VLOOKUP(A1,InvoicesData!$A$1:$DZU$1000000,2611,FALSE)</f>
        <v>#N/A</v>
      </c>
      <c r="J154" t="e">
        <f>VLOOKUP(A1,InvoicesData!$A$1:$DZU$1000000,2612,FALSE)</f>
        <v>#N/A</v>
      </c>
      <c r="K154" t="e">
        <f>VLOOKUP(A1,InvoicesData!$A$1:$DZU$1000000,2613,FALSE)</f>
        <v>#N/A</v>
      </c>
      <c r="L154" t="e">
        <f>VLOOKUP(A1,InvoicesData!$A$1:$DZU$1000000,2614,FALSE)</f>
        <v>#N/A</v>
      </c>
      <c r="M154" t="e">
        <f>VLOOKUP(A1,InvoicesData!$A$1:$DZU$1000000,2615,FALSE)</f>
        <v>#N/A</v>
      </c>
      <c r="N154" t="e">
        <f>VLOOKUP(A1,InvoicesData!$A$1:$DZU$1000000,2616,FALSE)</f>
        <v>#N/A</v>
      </c>
      <c r="O154" t="e">
        <f>VLOOKUP(A1,InvoicesData!$A$1:$DZU$1000000,2617,FALSE)</f>
        <v>#N/A</v>
      </c>
      <c r="P154" t="e">
        <f>VLOOKUP(A1,InvoicesData!$A$1:$DZU$1000000,2618,FALSE)</f>
        <v>#N/A</v>
      </c>
      <c r="Q154" t="e">
        <f>VLOOKUP(A1,InvoicesData!$A$1:$DZU$1000000,2619,FALSE)</f>
        <v>#N/A</v>
      </c>
    </row>
    <row r="155" spans="1:17">
      <c r="A155" t="e">
        <f>VLOOKUP(A1,InvoicesData!$A$1:$DZU$1000000,2620,FALSE)</f>
        <v>#N/A</v>
      </c>
      <c r="B155" t="e">
        <f>VLOOKUP(A1,InvoicesData!$A$1:$DZU$1000000,2621,FALSE)</f>
        <v>#N/A</v>
      </c>
      <c r="C155" t="e">
        <f>VLOOKUP(A1,InvoicesData!$A$1:$DZU$1000000,2622,FALSE)</f>
        <v>#N/A</v>
      </c>
      <c r="D155" t="e">
        <f>VLOOKUP(A1,InvoicesData!$A$1:$DZU$1000000,2623,FALSE)</f>
        <v>#N/A</v>
      </c>
      <c r="E155" t="e">
        <f>VLOOKUP(A1,InvoicesData!$A$1:$DZU$1000000,2624,FALSE)</f>
        <v>#N/A</v>
      </c>
      <c r="F155" t="e">
        <f>VLOOKUP(A1,InvoicesData!$A$1:$DZU$1000000,2625,FALSE)</f>
        <v>#N/A</v>
      </c>
      <c r="G155" t="e">
        <f>VLOOKUP(A1,InvoicesData!$A$1:$DZU$1000000,2626,FALSE)</f>
        <v>#N/A</v>
      </c>
      <c r="H155" t="e">
        <f>VLOOKUP(A1,InvoicesData!$A$1:$DZU$1000000,2627,FALSE)</f>
        <v>#N/A</v>
      </c>
      <c r="I155" t="e">
        <f>VLOOKUP(A1,InvoicesData!$A$1:$DZU$1000000,2628,FALSE)</f>
        <v>#N/A</v>
      </c>
      <c r="J155" t="e">
        <f>VLOOKUP(A1,InvoicesData!$A$1:$DZU$1000000,2629,FALSE)</f>
        <v>#N/A</v>
      </c>
      <c r="K155" t="e">
        <f>VLOOKUP(A1,InvoicesData!$A$1:$DZU$1000000,2630,FALSE)</f>
        <v>#N/A</v>
      </c>
      <c r="L155" t="e">
        <f>VLOOKUP(A1,InvoicesData!$A$1:$DZU$1000000,2631,FALSE)</f>
        <v>#N/A</v>
      </c>
      <c r="M155" t="e">
        <f>VLOOKUP(A1,InvoicesData!$A$1:$DZU$1000000,2632,FALSE)</f>
        <v>#N/A</v>
      </c>
      <c r="N155" t="e">
        <f>VLOOKUP(A1,InvoicesData!$A$1:$DZU$1000000,2633,FALSE)</f>
        <v>#N/A</v>
      </c>
      <c r="O155" t="e">
        <f>VLOOKUP(A1,InvoicesData!$A$1:$DZU$1000000,2634,FALSE)</f>
        <v>#N/A</v>
      </c>
      <c r="P155" t="e">
        <f>VLOOKUP(A1,InvoicesData!$A$1:$DZU$1000000,2635,FALSE)</f>
        <v>#N/A</v>
      </c>
      <c r="Q155" t="e">
        <f>VLOOKUP(A1,InvoicesData!$A$1:$DZU$1000000,2636,FALSE)</f>
        <v>#N/A</v>
      </c>
    </row>
    <row r="156" spans="1:17">
      <c r="A156" t="e">
        <f>VLOOKUP(A1,InvoicesData!$A$1:$DZU$1000000,2637,FALSE)</f>
        <v>#N/A</v>
      </c>
      <c r="B156" t="e">
        <f>VLOOKUP(A1,InvoicesData!$A$1:$DZU$1000000,2638,FALSE)</f>
        <v>#N/A</v>
      </c>
      <c r="C156" t="e">
        <f>VLOOKUP(A1,InvoicesData!$A$1:$DZU$1000000,2639,FALSE)</f>
        <v>#N/A</v>
      </c>
      <c r="D156" t="e">
        <f>VLOOKUP(A1,InvoicesData!$A$1:$DZU$1000000,2640,FALSE)</f>
        <v>#N/A</v>
      </c>
      <c r="E156" t="e">
        <f>VLOOKUP(A1,InvoicesData!$A$1:$DZU$1000000,2641,FALSE)</f>
        <v>#N/A</v>
      </c>
      <c r="F156" t="e">
        <f>VLOOKUP(A1,InvoicesData!$A$1:$DZU$1000000,2642,FALSE)</f>
        <v>#N/A</v>
      </c>
      <c r="G156" t="e">
        <f>VLOOKUP(A1,InvoicesData!$A$1:$DZU$1000000,2643,FALSE)</f>
        <v>#N/A</v>
      </c>
      <c r="H156" t="e">
        <f>VLOOKUP(A1,InvoicesData!$A$1:$DZU$1000000,2644,FALSE)</f>
        <v>#N/A</v>
      </c>
      <c r="I156" t="e">
        <f>VLOOKUP(A1,InvoicesData!$A$1:$DZU$1000000,2645,FALSE)</f>
        <v>#N/A</v>
      </c>
      <c r="J156" t="e">
        <f>VLOOKUP(A1,InvoicesData!$A$1:$DZU$1000000,2646,FALSE)</f>
        <v>#N/A</v>
      </c>
      <c r="K156" t="e">
        <f>VLOOKUP(A1,InvoicesData!$A$1:$DZU$1000000,2647,FALSE)</f>
        <v>#N/A</v>
      </c>
      <c r="L156" t="e">
        <f>VLOOKUP(A1,InvoicesData!$A$1:$DZU$1000000,2648,FALSE)</f>
        <v>#N/A</v>
      </c>
      <c r="M156" t="e">
        <f>VLOOKUP(A1,InvoicesData!$A$1:$DZU$1000000,2649,FALSE)</f>
        <v>#N/A</v>
      </c>
      <c r="N156" t="e">
        <f>VLOOKUP(A1,InvoicesData!$A$1:$DZU$1000000,2650,FALSE)</f>
        <v>#N/A</v>
      </c>
      <c r="O156" t="e">
        <f>VLOOKUP(A1,InvoicesData!$A$1:$DZU$1000000,2651,FALSE)</f>
        <v>#N/A</v>
      </c>
      <c r="P156" t="e">
        <f>VLOOKUP(A1,InvoicesData!$A$1:$DZU$1000000,2652,FALSE)</f>
        <v>#N/A</v>
      </c>
      <c r="Q156" t="e">
        <f>VLOOKUP(A1,InvoicesData!$A$1:$DZU$1000000,2653,FALSE)</f>
        <v>#N/A</v>
      </c>
    </row>
    <row r="157" spans="1:17">
      <c r="A157" t="e">
        <f>VLOOKUP(A1,InvoicesData!$A$1:$DZU$1000000,2654,FALSE)</f>
        <v>#N/A</v>
      </c>
      <c r="B157" t="e">
        <f>VLOOKUP(A1,InvoicesData!$A$1:$DZU$1000000,2655,FALSE)</f>
        <v>#N/A</v>
      </c>
      <c r="C157" t="e">
        <f>VLOOKUP(A1,InvoicesData!$A$1:$DZU$1000000,2656,FALSE)</f>
        <v>#N/A</v>
      </c>
      <c r="D157" t="e">
        <f>VLOOKUP(A1,InvoicesData!$A$1:$DZU$1000000,2657,FALSE)</f>
        <v>#N/A</v>
      </c>
      <c r="E157" t="e">
        <f>VLOOKUP(A1,InvoicesData!$A$1:$DZU$1000000,2658,FALSE)</f>
        <v>#N/A</v>
      </c>
      <c r="F157" t="e">
        <f>VLOOKUP(A1,InvoicesData!$A$1:$DZU$1000000,2659,FALSE)</f>
        <v>#N/A</v>
      </c>
      <c r="G157" t="e">
        <f>VLOOKUP(A1,InvoicesData!$A$1:$DZU$1000000,2660,FALSE)</f>
        <v>#N/A</v>
      </c>
      <c r="H157" t="e">
        <f>VLOOKUP(A1,InvoicesData!$A$1:$DZU$1000000,2661,FALSE)</f>
        <v>#N/A</v>
      </c>
      <c r="I157" t="e">
        <f>VLOOKUP(A1,InvoicesData!$A$1:$DZU$1000000,2662,FALSE)</f>
        <v>#N/A</v>
      </c>
      <c r="J157" t="e">
        <f>VLOOKUP(A1,InvoicesData!$A$1:$DZU$1000000,2663,FALSE)</f>
        <v>#N/A</v>
      </c>
      <c r="K157" t="e">
        <f>VLOOKUP(A1,InvoicesData!$A$1:$DZU$1000000,2664,FALSE)</f>
        <v>#N/A</v>
      </c>
      <c r="L157" t="e">
        <f>VLOOKUP(A1,InvoicesData!$A$1:$DZU$1000000,2665,FALSE)</f>
        <v>#N/A</v>
      </c>
      <c r="M157" t="e">
        <f>VLOOKUP(A1,InvoicesData!$A$1:$DZU$1000000,2666,FALSE)</f>
        <v>#N/A</v>
      </c>
      <c r="N157" t="e">
        <f>VLOOKUP(A1,InvoicesData!$A$1:$DZU$1000000,2667,FALSE)</f>
        <v>#N/A</v>
      </c>
      <c r="O157" t="e">
        <f>VLOOKUP(A1,InvoicesData!$A$1:$DZU$1000000,2668,FALSE)</f>
        <v>#N/A</v>
      </c>
      <c r="P157" t="e">
        <f>VLOOKUP(A1,InvoicesData!$A$1:$DZU$1000000,2669,FALSE)</f>
        <v>#N/A</v>
      </c>
      <c r="Q157" t="e">
        <f>VLOOKUP(A1,InvoicesData!$A$1:$DZU$1000000,2670,FALSE)</f>
        <v>#N/A</v>
      </c>
    </row>
    <row r="158" spans="1:17">
      <c r="A158" t="e">
        <f>VLOOKUP(A1,InvoicesData!$A$1:$DZU$1000000,2671,FALSE)</f>
        <v>#N/A</v>
      </c>
      <c r="B158" t="e">
        <f>VLOOKUP(A1,InvoicesData!$A$1:$DZU$1000000,2672,FALSE)</f>
        <v>#N/A</v>
      </c>
      <c r="C158" t="e">
        <f>VLOOKUP(A1,InvoicesData!$A$1:$DZU$1000000,2673,FALSE)</f>
        <v>#N/A</v>
      </c>
      <c r="D158" t="e">
        <f>VLOOKUP(A1,InvoicesData!$A$1:$DZU$1000000,2674,FALSE)</f>
        <v>#N/A</v>
      </c>
      <c r="E158" t="e">
        <f>VLOOKUP(A1,InvoicesData!$A$1:$DZU$1000000,2675,FALSE)</f>
        <v>#N/A</v>
      </c>
      <c r="F158" t="e">
        <f>VLOOKUP(A1,InvoicesData!$A$1:$DZU$1000000,2676,FALSE)</f>
        <v>#N/A</v>
      </c>
      <c r="G158" t="e">
        <f>VLOOKUP(A1,InvoicesData!$A$1:$DZU$1000000,2677,FALSE)</f>
        <v>#N/A</v>
      </c>
      <c r="H158" t="e">
        <f>VLOOKUP(A1,InvoicesData!$A$1:$DZU$1000000,2678,FALSE)</f>
        <v>#N/A</v>
      </c>
      <c r="I158" t="e">
        <f>VLOOKUP(A1,InvoicesData!$A$1:$DZU$1000000,2679,FALSE)</f>
        <v>#N/A</v>
      </c>
      <c r="J158" t="e">
        <f>VLOOKUP(A1,InvoicesData!$A$1:$DZU$1000000,2680,FALSE)</f>
        <v>#N/A</v>
      </c>
      <c r="K158" t="e">
        <f>VLOOKUP(A1,InvoicesData!$A$1:$DZU$1000000,2681,FALSE)</f>
        <v>#N/A</v>
      </c>
      <c r="L158" t="e">
        <f>VLOOKUP(A1,InvoicesData!$A$1:$DZU$1000000,2682,FALSE)</f>
        <v>#N/A</v>
      </c>
      <c r="M158" t="e">
        <f>VLOOKUP(A1,InvoicesData!$A$1:$DZU$1000000,2683,FALSE)</f>
        <v>#N/A</v>
      </c>
      <c r="N158" t="e">
        <f>VLOOKUP(A1,InvoicesData!$A$1:$DZU$1000000,2684,FALSE)</f>
        <v>#N/A</v>
      </c>
      <c r="O158" t="e">
        <f>VLOOKUP(A1,InvoicesData!$A$1:$DZU$1000000,2685,FALSE)</f>
        <v>#N/A</v>
      </c>
      <c r="P158" t="e">
        <f>VLOOKUP(A1,InvoicesData!$A$1:$DZU$1000000,2686,FALSE)</f>
        <v>#N/A</v>
      </c>
      <c r="Q158" t="e">
        <f>VLOOKUP(A1,InvoicesData!$A$1:$DZU$1000000,2687,FALSE)</f>
        <v>#N/A</v>
      </c>
    </row>
    <row r="159" spans="1:17">
      <c r="A159" t="e">
        <f>VLOOKUP(A1,InvoicesData!$A$1:$DZU$1000000,2688,FALSE)</f>
        <v>#N/A</v>
      </c>
      <c r="B159" t="e">
        <f>VLOOKUP(A1,InvoicesData!$A$1:$DZU$1000000,2689,FALSE)</f>
        <v>#N/A</v>
      </c>
      <c r="C159" t="e">
        <f>VLOOKUP(A1,InvoicesData!$A$1:$DZU$1000000,2690,FALSE)</f>
        <v>#N/A</v>
      </c>
      <c r="D159" t="e">
        <f>VLOOKUP(A1,InvoicesData!$A$1:$DZU$1000000,2691,FALSE)</f>
        <v>#N/A</v>
      </c>
      <c r="E159" t="e">
        <f>VLOOKUP(A1,InvoicesData!$A$1:$DZU$1000000,2692,FALSE)</f>
        <v>#N/A</v>
      </c>
      <c r="F159" t="e">
        <f>VLOOKUP(A1,InvoicesData!$A$1:$DZU$1000000,2693,FALSE)</f>
        <v>#N/A</v>
      </c>
      <c r="G159" t="e">
        <f>VLOOKUP(A1,InvoicesData!$A$1:$DZU$1000000,2694,FALSE)</f>
        <v>#N/A</v>
      </c>
      <c r="H159" t="e">
        <f>VLOOKUP(A1,InvoicesData!$A$1:$DZU$1000000,2695,FALSE)</f>
        <v>#N/A</v>
      </c>
      <c r="I159" t="e">
        <f>VLOOKUP(A1,InvoicesData!$A$1:$DZU$1000000,2696,FALSE)</f>
        <v>#N/A</v>
      </c>
      <c r="J159" t="e">
        <f>VLOOKUP(A1,InvoicesData!$A$1:$DZU$1000000,2697,FALSE)</f>
        <v>#N/A</v>
      </c>
      <c r="K159" t="e">
        <f>VLOOKUP(A1,InvoicesData!$A$1:$DZU$1000000,2698,FALSE)</f>
        <v>#N/A</v>
      </c>
      <c r="L159" t="e">
        <f>VLOOKUP(A1,InvoicesData!$A$1:$DZU$1000000,2699,FALSE)</f>
        <v>#N/A</v>
      </c>
      <c r="M159" t="e">
        <f>VLOOKUP(A1,InvoicesData!$A$1:$DZU$1000000,2700,FALSE)</f>
        <v>#N/A</v>
      </c>
      <c r="N159" t="e">
        <f>VLOOKUP(A1,InvoicesData!$A$1:$DZU$1000000,2701,FALSE)</f>
        <v>#N/A</v>
      </c>
      <c r="O159" t="e">
        <f>VLOOKUP(A1,InvoicesData!$A$1:$DZU$1000000,2702,FALSE)</f>
        <v>#N/A</v>
      </c>
      <c r="P159" t="e">
        <f>VLOOKUP(A1,InvoicesData!$A$1:$DZU$1000000,2703,FALSE)</f>
        <v>#N/A</v>
      </c>
      <c r="Q159" t="e">
        <f>VLOOKUP(A1,InvoicesData!$A$1:$DZU$1000000,2704,FALSE)</f>
        <v>#N/A</v>
      </c>
    </row>
    <row r="160" spans="1:17">
      <c r="A160" t="e">
        <f>VLOOKUP(A1,InvoicesData!$A$1:$DZU$1000000,2705,FALSE)</f>
        <v>#N/A</v>
      </c>
      <c r="B160" t="e">
        <f>VLOOKUP(A1,InvoicesData!$A$1:$DZU$1000000,2706,FALSE)</f>
        <v>#N/A</v>
      </c>
      <c r="C160" t="e">
        <f>VLOOKUP(A1,InvoicesData!$A$1:$DZU$1000000,2707,FALSE)</f>
        <v>#N/A</v>
      </c>
      <c r="D160" t="e">
        <f>VLOOKUP(A1,InvoicesData!$A$1:$DZU$1000000,2708,FALSE)</f>
        <v>#N/A</v>
      </c>
      <c r="E160" t="e">
        <f>VLOOKUP(A1,InvoicesData!$A$1:$DZU$1000000,2709,FALSE)</f>
        <v>#N/A</v>
      </c>
      <c r="F160" t="e">
        <f>VLOOKUP(A1,InvoicesData!$A$1:$DZU$1000000,2710,FALSE)</f>
        <v>#N/A</v>
      </c>
      <c r="G160" t="e">
        <f>VLOOKUP(A1,InvoicesData!$A$1:$DZU$1000000,2711,FALSE)</f>
        <v>#N/A</v>
      </c>
      <c r="H160" t="e">
        <f>VLOOKUP(A1,InvoicesData!$A$1:$DZU$1000000,2712,FALSE)</f>
        <v>#N/A</v>
      </c>
      <c r="I160" t="e">
        <f>VLOOKUP(A1,InvoicesData!$A$1:$DZU$1000000,2713,FALSE)</f>
        <v>#N/A</v>
      </c>
      <c r="J160" t="e">
        <f>VLOOKUP(A1,InvoicesData!$A$1:$DZU$1000000,2714,FALSE)</f>
        <v>#N/A</v>
      </c>
      <c r="K160" t="e">
        <f>VLOOKUP(A1,InvoicesData!$A$1:$DZU$1000000,2715,FALSE)</f>
        <v>#N/A</v>
      </c>
      <c r="L160" t="e">
        <f>VLOOKUP(A1,InvoicesData!$A$1:$DZU$1000000,2716,FALSE)</f>
        <v>#N/A</v>
      </c>
      <c r="M160" t="e">
        <f>VLOOKUP(A1,InvoicesData!$A$1:$DZU$1000000,2717,FALSE)</f>
        <v>#N/A</v>
      </c>
      <c r="N160" t="e">
        <f>VLOOKUP(A1,InvoicesData!$A$1:$DZU$1000000,2718,FALSE)</f>
        <v>#N/A</v>
      </c>
      <c r="O160" t="e">
        <f>VLOOKUP(A1,InvoicesData!$A$1:$DZU$1000000,2719,FALSE)</f>
        <v>#N/A</v>
      </c>
      <c r="P160" t="e">
        <f>VLOOKUP(A1,InvoicesData!$A$1:$DZU$1000000,2720,FALSE)</f>
        <v>#N/A</v>
      </c>
      <c r="Q160" t="e">
        <f>VLOOKUP(A1,InvoicesData!$A$1:$DZU$1000000,2721,FALSE)</f>
        <v>#N/A</v>
      </c>
    </row>
    <row r="161" spans="1:17">
      <c r="A161" t="e">
        <f>VLOOKUP(A1,InvoicesData!$A$1:$DZU$1000000,2722,FALSE)</f>
        <v>#N/A</v>
      </c>
      <c r="B161" t="e">
        <f>VLOOKUP(A1,InvoicesData!$A$1:$DZU$1000000,2723,FALSE)</f>
        <v>#N/A</v>
      </c>
      <c r="C161" t="e">
        <f>VLOOKUP(A1,InvoicesData!$A$1:$DZU$1000000,2724,FALSE)</f>
        <v>#N/A</v>
      </c>
      <c r="D161" t="e">
        <f>VLOOKUP(A1,InvoicesData!$A$1:$DZU$1000000,2725,FALSE)</f>
        <v>#N/A</v>
      </c>
      <c r="E161" t="e">
        <f>VLOOKUP(A1,InvoicesData!$A$1:$DZU$1000000,2726,FALSE)</f>
        <v>#N/A</v>
      </c>
      <c r="F161" t="e">
        <f>VLOOKUP(A1,InvoicesData!$A$1:$DZU$1000000,2727,FALSE)</f>
        <v>#N/A</v>
      </c>
      <c r="G161" t="e">
        <f>VLOOKUP(A1,InvoicesData!$A$1:$DZU$1000000,2728,FALSE)</f>
        <v>#N/A</v>
      </c>
      <c r="H161" t="e">
        <f>VLOOKUP(A1,InvoicesData!$A$1:$DZU$1000000,2729,FALSE)</f>
        <v>#N/A</v>
      </c>
      <c r="I161" t="e">
        <f>VLOOKUP(A1,InvoicesData!$A$1:$DZU$1000000,2730,FALSE)</f>
        <v>#N/A</v>
      </c>
      <c r="J161" t="e">
        <f>VLOOKUP(A1,InvoicesData!$A$1:$DZU$1000000,2731,FALSE)</f>
        <v>#N/A</v>
      </c>
      <c r="K161" t="e">
        <f>VLOOKUP(A1,InvoicesData!$A$1:$DZU$1000000,2732,FALSE)</f>
        <v>#N/A</v>
      </c>
      <c r="L161" t="e">
        <f>VLOOKUP(A1,InvoicesData!$A$1:$DZU$1000000,2733,FALSE)</f>
        <v>#N/A</v>
      </c>
      <c r="M161" t="e">
        <f>VLOOKUP(A1,InvoicesData!$A$1:$DZU$1000000,2734,FALSE)</f>
        <v>#N/A</v>
      </c>
      <c r="N161" t="e">
        <f>VLOOKUP(A1,InvoicesData!$A$1:$DZU$1000000,2735,FALSE)</f>
        <v>#N/A</v>
      </c>
      <c r="O161" t="e">
        <f>VLOOKUP(A1,InvoicesData!$A$1:$DZU$1000000,2736,FALSE)</f>
        <v>#N/A</v>
      </c>
      <c r="P161" t="e">
        <f>VLOOKUP(A1,InvoicesData!$A$1:$DZU$1000000,2737,FALSE)</f>
        <v>#N/A</v>
      </c>
      <c r="Q161" t="e">
        <f>VLOOKUP(A1,InvoicesData!$A$1:$DZU$1000000,2738,FALSE)</f>
        <v>#N/A</v>
      </c>
    </row>
    <row r="162" spans="1:17">
      <c r="A162" t="e">
        <f>VLOOKUP(A1,InvoicesData!$A$1:$DZU$1000000,2739,FALSE)</f>
        <v>#N/A</v>
      </c>
      <c r="B162" t="e">
        <f>VLOOKUP(A1,InvoicesData!$A$1:$DZU$1000000,2740,FALSE)</f>
        <v>#N/A</v>
      </c>
      <c r="C162" t="e">
        <f>VLOOKUP(A1,InvoicesData!$A$1:$DZU$1000000,2741,FALSE)</f>
        <v>#N/A</v>
      </c>
      <c r="D162" t="e">
        <f>VLOOKUP(A1,InvoicesData!$A$1:$DZU$1000000,2742,FALSE)</f>
        <v>#N/A</v>
      </c>
      <c r="E162" t="e">
        <f>VLOOKUP(A1,InvoicesData!$A$1:$DZU$1000000,2743,FALSE)</f>
        <v>#N/A</v>
      </c>
      <c r="F162" t="e">
        <f>VLOOKUP(A1,InvoicesData!$A$1:$DZU$1000000,2744,FALSE)</f>
        <v>#N/A</v>
      </c>
      <c r="G162" t="e">
        <f>VLOOKUP(A1,InvoicesData!$A$1:$DZU$1000000,2745,FALSE)</f>
        <v>#N/A</v>
      </c>
      <c r="H162" t="e">
        <f>VLOOKUP(A1,InvoicesData!$A$1:$DZU$1000000,2746,FALSE)</f>
        <v>#N/A</v>
      </c>
      <c r="I162" t="e">
        <f>VLOOKUP(A1,InvoicesData!$A$1:$DZU$1000000,2747,FALSE)</f>
        <v>#N/A</v>
      </c>
      <c r="J162" t="e">
        <f>VLOOKUP(A1,InvoicesData!$A$1:$DZU$1000000,2748,FALSE)</f>
        <v>#N/A</v>
      </c>
      <c r="K162" t="e">
        <f>VLOOKUP(A1,InvoicesData!$A$1:$DZU$1000000,2749,FALSE)</f>
        <v>#N/A</v>
      </c>
      <c r="L162" t="e">
        <f>VLOOKUP(A1,InvoicesData!$A$1:$DZU$1000000,2750,FALSE)</f>
        <v>#N/A</v>
      </c>
      <c r="M162" t="e">
        <f>VLOOKUP(A1,InvoicesData!$A$1:$DZU$1000000,2751,FALSE)</f>
        <v>#N/A</v>
      </c>
      <c r="N162" t="e">
        <f>VLOOKUP(A1,InvoicesData!$A$1:$DZU$1000000,2752,FALSE)</f>
        <v>#N/A</v>
      </c>
      <c r="O162" t="e">
        <f>VLOOKUP(A1,InvoicesData!$A$1:$DZU$1000000,2753,FALSE)</f>
        <v>#N/A</v>
      </c>
      <c r="P162" t="e">
        <f>VLOOKUP(A1,InvoicesData!$A$1:$DZU$1000000,2754,FALSE)</f>
        <v>#N/A</v>
      </c>
      <c r="Q162" t="e">
        <f>VLOOKUP(A1,InvoicesData!$A$1:$DZU$1000000,2755,FALSE)</f>
        <v>#N/A</v>
      </c>
    </row>
    <row r="163" spans="1:17">
      <c r="A163" t="e">
        <f>VLOOKUP(A1,InvoicesData!$A$1:$DZU$1000000,2756,FALSE)</f>
        <v>#N/A</v>
      </c>
      <c r="B163" t="e">
        <f>VLOOKUP(A1,InvoicesData!$A$1:$DZU$1000000,2757,FALSE)</f>
        <v>#N/A</v>
      </c>
      <c r="C163" t="e">
        <f>VLOOKUP(A1,InvoicesData!$A$1:$DZU$1000000,2758,FALSE)</f>
        <v>#N/A</v>
      </c>
      <c r="D163" t="e">
        <f>VLOOKUP(A1,InvoicesData!$A$1:$DZU$1000000,2759,FALSE)</f>
        <v>#N/A</v>
      </c>
      <c r="E163" t="e">
        <f>VLOOKUP(A1,InvoicesData!$A$1:$DZU$1000000,2760,FALSE)</f>
        <v>#N/A</v>
      </c>
      <c r="F163" t="e">
        <f>VLOOKUP(A1,InvoicesData!$A$1:$DZU$1000000,2761,FALSE)</f>
        <v>#N/A</v>
      </c>
      <c r="G163" t="e">
        <f>VLOOKUP(A1,InvoicesData!$A$1:$DZU$1000000,2762,FALSE)</f>
        <v>#N/A</v>
      </c>
      <c r="H163" t="e">
        <f>VLOOKUP(A1,InvoicesData!$A$1:$DZU$1000000,2763,FALSE)</f>
        <v>#N/A</v>
      </c>
      <c r="I163" t="e">
        <f>VLOOKUP(A1,InvoicesData!$A$1:$DZU$1000000,2764,FALSE)</f>
        <v>#N/A</v>
      </c>
      <c r="J163" t="e">
        <f>VLOOKUP(A1,InvoicesData!$A$1:$DZU$1000000,2765,FALSE)</f>
        <v>#N/A</v>
      </c>
      <c r="K163" t="e">
        <f>VLOOKUP(A1,InvoicesData!$A$1:$DZU$1000000,2766,FALSE)</f>
        <v>#N/A</v>
      </c>
      <c r="L163" t="e">
        <f>VLOOKUP(A1,InvoicesData!$A$1:$DZU$1000000,2767,FALSE)</f>
        <v>#N/A</v>
      </c>
      <c r="M163" t="e">
        <f>VLOOKUP(A1,InvoicesData!$A$1:$DZU$1000000,2768,FALSE)</f>
        <v>#N/A</v>
      </c>
      <c r="N163" t="e">
        <f>VLOOKUP(A1,InvoicesData!$A$1:$DZU$1000000,2769,FALSE)</f>
        <v>#N/A</v>
      </c>
      <c r="O163" t="e">
        <f>VLOOKUP(A1,InvoicesData!$A$1:$DZU$1000000,2770,FALSE)</f>
        <v>#N/A</v>
      </c>
      <c r="P163" t="e">
        <f>VLOOKUP(A1,InvoicesData!$A$1:$DZU$1000000,2771,FALSE)</f>
        <v>#N/A</v>
      </c>
      <c r="Q163" t="e">
        <f>VLOOKUP(A1,InvoicesData!$A$1:$DZU$1000000,2772,FALSE)</f>
        <v>#N/A</v>
      </c>
    </row>
    <row r="164" spans="1:17">
      <c r="A164" t="e">
        <f>VLOOKUP(A1,InvoicesData!$A$1:$DZU$1000000,2773,FALSE)</f>
        <v>#N/A</v>
      </c>
      <c r="B164" t="e">
        <f>VLOOKUP(A1,InvoicesData!$A$1:$DZU$1000000,2774,FALSE)</f>
        <v>#N/A</v>
      </c>
      <c r="C164" t="e">
        <f>VLOOKUP(A1,InvoicesData!$A$1:$DZU$1000000,2775,FALSE)</f>
        <v>#N/A</v>
      </c>
      <c r="D164" t="e">
        <f>VLOOKUP(A1,InvoicesData!$A$1:$DZU$1000000,2776,FALSE)</f>
        <v>#N/A</v>
      </c>
      <c r="E164" t="e">
        <f>VLOOKUP(A1,InvoicesData!$A$1:$DZU$1000000,2777,FALSE)</f>
        <v>#N/A</v>
      </c>
      <c r="F164" t="e">
        <f>VLOOKUP(A1,InvoicesData!$A$1:$DZU$1000000,2778,FALSE)</f>
        <v>#N/A</v>
      </c>
      <c r="G164" t="e">
        <f>VLOOKUP(A1,InvoicesData!$A$1:$DZU$1000000,2779,FALSE)</f>
        <v>#N/A</v>
      </c>
      <c r="H164" t="e">
        <f>VLOOKUP(A1,InvoicesData!$A$1:$DZU$1000000,2780,FALSE)</f>
        <v>#N/A</v>
      </c>
      <c r="I164" t="e">
        <f>VLOOKUP(A1,InvoicesData!$A$1:$DZU$1000000,2781,FALSE)</f>
        <v>#N/A</v>
      </c>
      <c r="J164" t="e">
        <f>VLOOKUP(A1,InvoicesData!$A$1:$DZU$1000000,2782,FALSE)</f>
        <v>#N/A</v>
      </c>
      <c r="K164" t="e">
        <f>VLOOKUP(A1,InvoicesData!$A$1:$DZU$1000000,2783,FALSE)</f>
        <v>#N/A</v>
      </c>
      <c r="L164" t="e">
        <f>VLOOKUP(A1,InvoicesData!$A$1:$DZU$1000000,2784,FALSE)</f>
        <v>#N/A</v>
      </c>
      <c r="M164" t="e">
        <f>VLOOKUP(A1,InvoicesData!$A$1:$DZU$1000000,2785,FALSE)</f>
        <v>#N/A</v>
      </c>
      <c r="N164" t="e">
        <f>VLOOKUP(A1,InvoicesData!$A$1:$DZU$1000000,2786,FALSE)</f>
        <v>#N/A</v>
      </c>
      <c r="O164" t="e">
        <f>VLOOKUP(A1,InvoicesData!$A$1:$DZU$1000000,2787,FALSE)</f>
        <v>#N/A</v>
      </c>
      <c r="P164" t="e">
        <f>VLOOKUP(A1,InvoicesData!$A$1:$DZU$1000000,2788,FALSE)</f>
        <v>#N/A</v>
      </c>
      <c r="Q164" t="e">
        <f>VLOOKUP(A1,InvoicesData!$A$1:$DZU$1000000,2789,FALSE)</f>
        <v>#N/A</v>
      </c>
    </row>
    <row r="165" spans="1:17">
      <c r="A165" t="e">
        <f>VLOOKUP(A1,InvoicesData!$A$1:$DZU$1000000,2790,FALSE)</f>
        <v>#N/A</v>
      </c>
      <c r="B165" t="e">
        <f>VLOOKUP(A1,InvoicesData!$A$1:$DZU$1000000,2791,FALSE)</f>
        <v>#N/A</v>
      </c>
      <c r="C165" t="e">
        <f>VLOOKUP(A1,InvoicesData!$A$1:$DZU$1000000,2792,FALSE)</f>
        <v>#N/A</v>
      </c>
      <c r="D165" t="e">
        <f>VLOOKUP(A1,InvoicesData!$A$1:$DZU$1000000,2793,FALSE)</f>
        <v>#N/A</v>
      </c>
      <c r="E165" t="e">
        <f>VLOOKUP(A1,InvoicesData!$A$1:$DZU$1000000,2794,FALSE)</f>
        <v>#N/A</v>
      </c>
      <c r="F165" t="e">
        <f>VLOOKUP(A1,InvoicesData!$A$1:$DZU$1000000,2795,FALSE)</f>
        <v>#N/A</v>
      </c>
      <c r="G165" t="e">
        <f>VLOOKUP(A1,InvoicesData!$A$1:$DZU$1000000,2796,FALSE)</f>
        <v>#N/A</v>
      </c>
      <c r="H165" t="e">
        <f>VLOOKUP(A1,InvoicesData!$A$1:$DZU$1000000,2797,FALSE)</f>
        <v>#N/A</v>
      </c>
      <c r="I165" t="e">
        <f>VLOOKUP(A1,InvoicesData!$A$1:$DZU$1000000,2798,FALSE)</f>
        <v>#N/A</v>
      </c>
      <c r="J165" t="e">
        <f>VLOOKUP(A1,InvoicesData!$A$1:$DZU$1000000,2799,FALSE)</f>
        <v>#N/A</v>
      </c>
      <c r="K165" t="e">
        <f>VLOOKUP(A1,InvoicesData!$A$1:$DZU$1000000,2800,FALSE)</f>
        <v>#N/A</v>
      </c>
      <c r="L165" t="e">
        <f>VLOOKUP(A1,InvoicesData!$A$1:$DZU$1000000,2801,FALSE)</f>
        <v>#N/A</v>
      </c>
      <c r="M165" t="e">
        <f>VLOOKUP(A1,InvoicesData!$A$1:$DZU$1000000,2802,FALSE)</f>
        <v>#N/A</v>
      </c>
      <c r="N165" t="e">
        <f>VLOOKUP(A1,InvoicesData!$A$1:$DZU$1000000,2803,FALSE)</f>
        <v>#N/A</v>
      </c>
      <c r="O165" t="e">
        <f>VLOOKUP(A1,InvoicesData!$A$1:$DZU$1000000,2804,FALSE)</f>
        <v>#N/A</v>
      </c>
      <c r="P165" t="e">
        <f>VLOOKUP(A1,InvoicesData!$A$1:$DZU$1000000,2805,FALSE)</f>
        <v>#N/A</v>
      </c>
      <c r="Q165" t="e">
        <f>VLOOKUP(A1,InvoicesData!$A$1:$DZU$1000000,2806,FALSE)</f>
        <v>#N/A</v>
      </c>
    </row>
    <row r="166" spans="1:17">
      <c r="A166" t="e">
        <f>VLOOKUP(A1,InvoicesData!$A$1:$DZU$1000000,2807,FALSE)</f>
        <v>#N/A</v>
      </c>
      <c r="B166" t="e">
        <f>VLOOKUP(A1,InvoicesData!$A$1:$DZU$1000000,2808,FALSE)</f>
        <v>#N/A</v>
      </c>
      <c r="C166" t="e">
        <f>VLOOKUP(A1,InvoicesData!$A$1:$DZU$1000000,2809,FALSE)</f>
        <v>#N/A</v>
      </c>
      <c r="D166" t="e">
        <f>VLOOKUP(A1,InvoicesData!$A$1:$DZU$1000000,2810,FALSE)</f>
        <v>#N/A</v>
      </c>
      <c r="E166" t="e">
        <f>VLOOKUP(A1,InvoicesData!$A$1:$DZU$1000000,2811,FALSE)</f>
        <v>#N/A</v>
      </c>
      <c r="F166" t="e">
        <f>VLOOKUP(A1,InvoicesData!$A$1:$DZU$1000000,2812,FALSE)</f>
        <v>#N/A</v>
      </c>
      <c r="G166" t="e">
        <f>VLOOKUP(A1,InvoicesData!$A$1:$DZU$1000000,2813,FALSE)</f>
        <v>#N/A</v>
      </c>
      <c r="H166" t="e">
        <f>VLOOKUP(A1,InvoicesData!$A$1:$DZU$1000000,2814,FALSE)</f>
        <v>#N/A</v>
      </c>
      <c r="I166" t="e">
        <f>VLOOKUP(A1,InvoicesData!$A$1:$DZU$1000000,2815,FALSE)</f>
        <v>#N/A</v>
      </c>
      <c r="J166" t="e">
        <f>VLOOKUP(A1,InvoicesData!$A$1:$DZU$1000000,2816,FALSE)</f>
        <v>#N/A</v>
      </c>
      <c r="K166" t="e">
        <f>VLOOKUP(A1,InvoicesData!$A$1:$DZU$1000000,2817,FALSE)</f>
        <v>#N/A</v>
      </c>
      <c r="L166" t="e">
        <f>VLOOKUP(A1,InvoicesData!$A$1:$DZU$1000000,2818,FALSE)</f>
        <v>#N/A</v>
      </c>
      <c r="M166" t="e">
        <f>VLOOKUP(A1,InvoicesData!$A$1:$DZU$1000000,2819,FALSE)</f>
        <v>#N/A</v>
      </c>
      <c r="N166" t="e">
        <f>VLOOKUP(A1,InvoicesData!$A$1:$DZU$1000000,2820,FALSE)</f>
        <v>#N/A</v>
      </c>
      <c r="O166" t="e">
        <f>VLOOKUP(A1,InvoicesData!$A$1:$DZU$1000000,2821,FALSE)</f>
        <v>#N/A</v>
      </c>
      <c r="P166" t="e">
        <f>VLOOKUP(A1,InvoicesData!$A$1:$DZU$1000000,2822,FALSE)</f>
        <v>#N/A</v>
      </c>
      <c r="Q166" t="e">
        <f>VLOOKUP(A1,InvoicesData!$A$1:$DZU$1000000,2823,FALSE)</f>
        <v>#N/A</v>
      </c>
    </row>
    <row r="167" spans="1:17">
      <c r="A167" t="e">
        <f>VLOOKUP(A1,InvoicesData!$A$1:$DZU$1000000,2824,FALSE)</f>
        <v>#N/A</v>
      </c>
      <c r="B167" t="e">
        <f>VLOOKUP(A1,InvoicesData!$A$1:$DZU$1000000,2825,FALSE)</f>
        <v>#N/A</v>
      </c>
      <c r="C167" t="e">
        <f>VLOOKUP(A1,InvoicesData!$A$1:$DZU$1000000,2826,FALSE)</f>
        <v>#N/A</v>
      </c>
      <c r="D167" t="e">
        <f>VLOOKUP(A1,InvoicesData!$A$1:$DZU$1000000,2827,FALSE)</f>
        <v>#N/A</v>
      </c>
      <c r="E167" t="e">
        <f>VLOOKUP(A1,InvoicesData!$A$1:$DZU$1000000,2828,FALSE)</f>
        <v>#N/A</v>
      </c>
      <c r="F167" t="e">
        <f>VLOOKUP(A1,InvoicesData!$A$1:$DZU$1000000,2829,FALSE)</f>
        <v>#N/A</v>
      </c>
      <c r="G167" t="e">
        <f>VLOOKUP(A1,InvoicesData!$A$1:$DZU$1000000,2830,FALSE)</f>
        <v>#N/A</v>
      </c>
      <c r="H167" t="e">
        <f>VLOOKUP(A1,InvoicesData!$A$1:$DZU$1000000,2831,FALSE)</f>
        <v>#N/A</v>
      </c>
      <c r="I167" t="e">
        <f>VLOOKUP(A1,InvoicesData!$A$1:$DZU$1000000,2832,FALSE)</f>
        <v>#N/A</v>
      </c>
      <c r="J167" t="e">
        <f>VLOOKUP(A1,InvoicesData!$A$1:$DZU$1000000,2833,FALSE)</f>
        <v>#N/A</v>
      </c>
      <c r="K167" t="e">
        <f>VLOOKUP(A1,InvoicesData!$A$1:$DZU$1000000,2834,FALSE)</f>
        <v>#N/A</v>
      </c>
      <c r="L167" t="e">
        <f>VLOOKUP(A1,InvoicesData!$A$1:$DZU$1000000,2835,FALSE)</f>
        <v>#N/A</v>
      </c>
      <c r="M167" t="e">
        <f>VLOOKUP(A1,InvoicesData!$A$1:$DZU$1000000,2836,FALSE)</f>
        <v>#N/A</v>
      </c>
      <c r="N167" t="e">
        <f>VLOOKUP(A1,InvoicesData!$A$1:$DZU$1000000,2837,FALSE)</f>
        <v>#N/A</v>
      </c>
      <c r="O167" t="e">
        <f>VLOOKUP(A1,InvoicesData!$A$1:$DZU$1000000,2838,FALSE)</f>
        <v>#N/A</v>
      </c>
      <c r="P167" t="e">
        <f>VLOOKUP(A1,InvoicesData!$A$1:$DZU$1000000,2839,FALSE)</f>
        <v>#N/A</v>
      </c>
      <c r="Q167" t="e">
        <f>VLOOKUP(A1,InvoicesData!$A$1:$DZU$1000000,2840,FALSE)</f>
        <v>#N/A</v>
      </c>
    </row>
    <row r="168" spans="1:17">
      <c r="A168" t="e">
        <f>VLOOKUP(A1,InvoicesData!$A$1:$DZU$1000000,2841,FALSE)</f>
        <v>#N/A</v>
      </c>
      <c r="B168" t="e">
        <f>VLOOKUP(A1,InvoicesData!$A$1:$DZU$1000000,2842,FALSE)</f>
        <v>#N/A</v>
      </c>
      <c r="C168" t="e">
        <f>VLOOKUP(A1,InvoicesData!$A$1:$DZU$1000000,2843,FALSE)</f>
        <v>#N/A</v>
      </c>
      <c r="D168" t="e">
        <f>VLOOKUP(A1,InvoicesData!$A$1:$DZU$1000000,2844,FALSE)</f>
        <v>#N/A</v>
      </c>
      <c r="E168" t="e">
        <f>VLOOKUP(A1,InvoicesData!$A$1:$DZU$1000000,2845,FALSE)</f>
        <v>#N/A</v>
      </c>
      <c r="F168" t="e">
        <f>VLOOKUP(A1,InvoicesData!$A$1:$DZU$1000000,2846,FALSE)</f>
        <v>#N/A</v>
      </c>
      <c r="G168" t="e">
        <f>VLOOKUP(A1,InvoicesData!$A$1:$DZU$1000000,2847,FALSE)</f>
        <v>#N/A</v>
      </c>
      <c r="H168" t="e">
        <f>VLOOKUP(A1,InvoicesData!$A$1:$DZU$1000000,2848,FALSE)</f>
        <v>#N/A</v>
      </c>
      <c r="I168" t="e">
        <f>VLOOKUP(A1,InvoicesData!$A$1:$DZU$1000000,2849,FALSE)</f>
        <v>#N/A</v>
      </c>
      <c r="J168" t="e">
        <f>VLOOKUP(A1,InvoicesData!$A$1:$DZU$1000000,2850,FALSE)</f>
        <v>#N/A</v>
      </c>
      <c r="K168" t="e">
        <f>VLOOKUP(A1,InvoicesData!$A$1:$DZU$1000000,2851,FALSE)</f>
        <v>#N/A</v>
      </c>
      <c r="L168" t="e">
        <f>VLOOKUP(A1,InvoicesData!$A$1:$DZU$1000000,2852,FALSE)</f>
        <v>#N/A</v>
      </c>
      <c r="M168" t="e">
        <f>VLOOKUP(A1,InvoicesData!$A$1:$DZU$1000000,2853,FALSE)</f>
        <v>#N/A</v>
      </c>
      <c r="N168" t="e">
        <f>VLOOKUP(A1,InvoicesData!$A$1:$DZU$1000000,2854,FALSE)</f>
        <v>#N/A</v>
      </c>
      <c r="O168" t="e">
        <f>VLOOKUP(A1,InvoicesData!$A$1:$DZU$1000000,2855,FALSE)</f>
        <v>#N/A</v>
      </c>
      <c r="P168" t="e">
        <f>VLOOKUP(A1,InvoicesData!$A$1:$DZU$1000000,2856,FALSE)</f>
        <v>#N/A</v>
      </c>
      <c r="Q168" t="e">
        <f>VLOOKUP(A1,InvoicesData!$A$1:$DZU$1000000,2857,FALSE)</f>
        <v>#N/A</v>
      </c>
    </row>
    <row r="169" spans="1:17">
      <c r="A169" t="e">
        <f>VLOOKUP(A1,InvoicesData!$A$1:$DZU$1000000,2858,FALSE)</f>
        <v>#N/A</v>
      </c>
      <c r="B169" t="e">
        <f>VLOOKUP(A1,InvoicesData!$A$1:$DZU$1000000,2859,FALSE)</f>
        <v>#N/A</v>
      </c>
      <c r="C169" t="e">
        <f>VLOOKUP(A1,InvoicesData!$A$1:$DZU$1000000,2860,FALSE)</f>
        <v>#N/A</v>
      </c>
      <c r="D169" t="e">
        <f>VLOOKUP(A1,InvoicesData!$A$1:$DZU$1000000,2861,FALSE)</f>
        <v>#N/A</v>
      </c>
      <c r="E169" t="e">
        <f>VLOOKUP(A1,InvoicesData!$A$1:$DZU$1000000,2862,FALSE)</f>
        <v>#N/A</v>
      </c>
      <c r="F169" t="e">
        <f>VLOOKUP(A1,InvoicesData!$A$1:$DZU$1000000,2863,FALSE)</f>
        <v>#N/A</v>
      </c>
      <c r="G169" t="e">
        <f>VLOOKUP(A1,InvoicesData!$A$1:$DZU$1000000,2864,FALSE)</f>
        <v>#N/A</v>
      </c>
      <c r="H169" t="e">
        <f>VLOOKUP(A1,InvoicesData!$A$1:$DZU$1000000,2865,FALSE)</f>
        <v>#N/A</v>
      </c>
      <c r="I169" t="e">
        <f>VLOOKUP(A1,InvoicesData!$A$1:$DZU$1000000,2866,FALSE)</f>
        <v>#N/A</v>
      </c>
      <c r="J169" t="e">
        <f>VLOOKUP(A1,InvoicesData!$A$1:$DZU$1000000,2867,FALSE)</f>
        <v>#N/A</v>
      </c>
      <c r="K169" t="e">
        <f>VLOOKUP(A1,InvoicesData!$A$1:$DZU$1000000,2868,FALSE)</f>
        <v>#N/A</v>
      </c>
      <c r="L169" t="e">
        <f>VLOOKUP(A1,InvoicesData!$A$1:$DZU$1000000,2869,FALSE)</f>
        <v>#N/A</v>
      </c>
      <c r="M169" t="e">
        <f>VLOOKUP(A1,InvoicesData!$A$1:$DZU$1000000,2870,FALSE)</f>
        <v>#N/A</v>
      </c>
      <c r="N169" t="e">
        <f>VLOOKUP(A1,InvoicesData!$A$1:$DZU$1000000,2871,FALSE)</f>
        <v>#N/A</v>
      </c>
      <c r="O169" t="e">
        <f>VLOOKUP(A1,InvoicesData!$A$1:$DZU$1000000,2872,FALSE)</f>
        <v>#N/A</v>
      </c>
      <c r="P169" t="e">
        <f>VLOOKUP(A1,InvoicesData!$A$1:$DZU$1000000,2873,FALSE)</f>
        <v>#N/A</v>
      </c>
      <c r="Q169" t="e">
        <f>VLOOKUP(A1,InvoicesData!$A$1:$DZU$1000000,2874,FALSE)</f>
        <v>#N/A</v>
      </c>
    </row>
    <row r="170" spans="1:17">
      <c r="A170" t="e">
        <f>VLOOKUP(A1,InvoicesData!$A$1:$DZU$1000000,2875,FALSE)</f>
        <v>#N/A</v>
      </c>
      <c r="B170" t="e">
        <f>VLOOKUP(A1,InvoicesData!$A$1:$DZU$1000000,2876,FALSE)</f>
        <v>#N/A</v>
      </c>
      <c r="C170" t="e">
        <f>VLOOKUP(A1,InvoicesData!$A$1:$DZU$1000000,2877,FALSE)</f>
        <v>#N/A</v>
      </c>
      <c r="D170" t="e">
        <f>VLOOKUP(A1,InvoicesData!$A$1:$DZU$1000000,2878,FALSE)</f>
        <v>#N/A</v>
      </c>
      <c r="E170" t="e">
        <f>VLOOKUP(A1,InvoicesData!$A$1:$DZU$1000000,2879,FALSE)</f>
        <v>#N/A</v>
      </c>
      <c r="F170" t="e">
        <f>VLOOKUP(A1,InvoicesData!$A$1:$DZU$1000000,2880,FALSE)</f>
        <v>#N/A</v>
      </c>
      <c r="G170" t="e">
        <f>VLOOKUP(A1,InvoicesData!$A$1:$DZU$1000000,2881,FALSE)</f>
        <v>#N/A</v>
      </c>
      <c r="H170" t="e">
        <f>VLOOKUP(A1,InvoicesData!$A$1:$DZU$1000000,2882,FALSE)</f>
        <v>#N/A</v>
      </c>
      <c r="I170" t="e">
        <f>VLOOKUP(A1,InvoicesData!$A$1:$DZU$1000000,2883,FALSE)</f>
        <v>#N/A</v>
      </c>
      <c r="J170" t="e">
        <f>VLOOKUP(A1,InvoicesData!$A$1:$DZU$1000000,2884,FALSE)</f>
        <v>#N/A</v>
      </c>
      <c r="K170" t="e">
        <f>VLOOKUP(A1,InvoicesData!$A$1:$DZU$1000000,2885,FALSE)</f>
        <v>#N/A</v>
      </c>
      <c r="L170" t="e">
        <f>VLOOKUP(A1,InvoicesData!$A$1:$DZU$1000000,2886,FALSE)</f>
        <v>#N/A</v>
      </c>
      <c r="M170" t="e">
        <f>VLOOKUP(A1,InvoicesData!$A$1:$DZU$1000000,2887,FALSE)</f>
        <v>#N/A</v>
      </c>
      <c r="N170" t="e">
        <f>VLOOKUP(A1,InvoicesData!$A$1:$DZU$1000000,2888,FALSE)</f>
        <v>#N/A</v>
      </c>
      <c r="O170" t="e">
        <f>VLOOKUP(A1,InvoicesData!$A$1:$DZU$1000000,2889,FALSE)</f>
        <v>#N/A</v>
      </c>
      <c r="P170" t="e">
        <f>VLOOKUP(A1,InvoicesData!$A$1:$DZU$1000000,2890,FALSE)</f>
        <v>#N/A</v>
      </c>
      <c r="Q170" t="e">
        <f>VLOOKUP(A1,InvoicesData!$A$1:$DZU$1000000,2891,FALSE)</f>
        <v>#N/A</v>
      </c>
    </row>
    <row r="171" spans="1:17">
      <c r="A171" t="e">
        <f>VLOOKUP(A1,InvoicesData!$A$1:$DZU$1000000,2892,FALSE)</f>
        <v>#N/A</v>
      </c>
      <c r="B171" t="e">
        <f>VLOOKUP(A1,InvoicesData!$A$1:$DZU$1000000,2893,FALSE)</f>
        <v>#N/A</v>
      </c>
      <c r="C171" t="e">
        <f>VLOOKUP(A1,InvoicesData!$A$1:$DZU$1000000,2894,FALSE)</f>
        <v>#N/A</v>
      </c>
      <c r="D171" t="e">
        <f>VLOOKUP(A1,InvoicesData!$A$1:$DZU$1000000,2895,FALSE)</f>
        <v>#N/A</v>
      </c>
      <c r="E171" t="e">
        <f>VLOOKUP(A1,InvoicesData!$A$1:$DZU$1000000,2896,FALSE)</f>
        <v>#N/A</v>
      </c>
      <c r="F171" t="e">
        <f>VLOOKUP(A1,InvoicesData!$A$1:$DZU$1000000,2897,FALSE)</f>
        <v>#N/A</v>
      </c>
      <c r="G171" t="e">
        <f>VLOOKUP(A1,InvoicesData!$A$1:$DZU$1000000,2898,FALSE)</f>
        <v>#N/A</v>
      </c>
      <c r="H171" t="e">
        <f>VLOOKUP(A1,InvoicesData!$A$1:$DZU$1000000,2899,FALSE)</f>
        <v>#N/A</v>
      </c>
      <c r="I171" t="e">
        <f>VLOOKUP(A1,InvoicesData!$A$1:$DZU$1000000,2900,FALSE)</f>
        <v>#N/A</v>
      </c>
      <c r="J171" t="e">
        <f>VLOOKUP(A1,InvoicesData!$A$1:$DZU$1000000,2901,FALSE)</f>
        <v>#N/A</v>
      </c>
      <c r="K171" t="e">
        <f>VLOOKUP(A1,InvoicesData!$A$1:$DZU$1000000,2902,FALSE)</f>
        <v>#N/A</v>
      </c>
      <c r="L171" t="e">
        <f>VLOOKUP(A1,InvoicesData!$A$1:$DZU$1000000,2903,FALSE)</f>
        <v>#N/A</v>
      </c>
      <c r="M171" t="e">
        <f>VLOOKUP(A1,InvoicesData!$A$1:$DZU$1000000,2904,FALSE)</f>
        <v>#N/A</v>
      </c>
      <c r="N171" t="e">
        <f>VLOOKUP(A1,InvoicesData!$A$1:$DZU$1000000,2905,FALSE)</f>
        <v>#N/A</v>
      </c>
      <c r="O171" t="e">
        <f>VLOOKUP(A1,InvoicesData!$A$1:$DZU$1000000,2906,FALSE)</f>
        <v>#N/A</v>
      </c>
      <c r="P171" t="e">
        <f>VLOOKUP(A1,InvoicesData!$A$1:$DZU$1000000,2907,FALSE)</f>
        <v>#N/A</v>
      </c>
      <c r="Q171" t="e">
        <f>VLOOKUP(A1,InvoicesData!$A$1:$DZU$1000000,2908,FALSE)</f>
        <v>#N/A</v>
      </c>
    </row>
    <row r="172" spans="1:17">
      <c r="A172" t="e">
        <f>VLOOKUP(A1,InvoicesData!$A$1:$DZU$1000000,2909,FALSE)</f>
        <v>#N/A</v>
      </c>
      <c r="B172" t="e">
        <f>VLOOKUP(A1,InvoicesData!$A$1:$DZU$1000000,2910,FALSE)</f>
        <v>#N/A</v>
      </c>
      <c r="C172" t="e">
        <f>VLOOKUP(A1,InvoicesData!$A$1:$DZU$1000000,2911,FALSE)</f>
        <v>#N/A</v>
      </c>
      <c r="D172" t="e">
        <f>VLOOKUP(A1,InvoicesData!$A$1:$DZU$1000000,2912,FALSE)</f>
        <v>#N/A</v>
      </c>
      <c r="E172" t="e">
        <f>VLOOKUP(A1,InvoicesData!$A$1:$DZU$1000000,2913,FALSE)</f>
        <v>#N/A</v>
      </c>
      <c r="F172" t="e">
        <f>VLOOKUP(A1,InvoicesData!$A$1:$DZU$1000000,2914,FALSE)</f>
        <v>#N/A</v>
      </c>
      <c r="G172" t="e">
        <f>VLOOKUP(A1,InvoicesData!$A$1:$DZU$1000000,2915,FALSE)</f>
        <v>#N/A</v>
      </c>
      <c r="H172" t="e">
        <f>VLOOKUP(A1,InvoicesData!$A$1:$DZU$1000000,2916,FALSE)</f>
        <v>#N/A</v>
      </c>
      <c r="I172" t="e">
        <f>VLOOKUP(A1,InvoicesData!$A$1:$DZU$1000000,2917,FALSE)</f>
        <v>#N/A</v>
      </c>
      <c r="J172" t="e">
        <f>VLOOKUP(A1,InvoicesData!$A$1:$DZU$1000000,2918,FALSE)</f>
        <v>#N/A</v>
      </c>
      <c r="K172" t="e">
        <f>VLOOKUP(A1,InvoicesData!$A$1:$DZU$1000000,2919,FALSE)</f>
        <v>#N/A</v>
      </c>
      <c r="L172" t="e">
        <f>VLOOKUP(A1,InvoicesData!$A$1:$DZU$1000000,2920,FALSE)</f>
        <v>#N/A</v>
      </c>
      <c r="M172" t="e">
        <f>VLOOKUP(A1,InvoicesData!$A$1:$DZU$1000000,2921,FALSE)</f>
        <v>#N/A</v>
      </c>
      <c r="N172" t="e">
        <f>VLOOKUP(A1,InvoicesData!$A$1:$DZU$1000000,2922,FALSE)</f>
        <v>#N/A</v>
      </c>
      <c r="O172" t="e">
        <f>VLOOKUP(A1,InvoicesData!$A$1:$DZU$1000000,2923,FALSE)</f>
        <v>#N/A</v>
      </c>
      <c r="P172" t="e">
        <f>VLOOKUP(A1,InvoicesData!$A$1:$DZU$1000000,2924,FALSE)</f>
        <v>#N/A</v>
      </c>
      <c r="Q172" t="e">
        <f>VLOOKUP(A1,InvoicesData!$A$1:$DZU$1000000,2925,FALSE)</f>
        <v>#N/A</v>
      </c>
    </row>
    <row r="173" spans="1:17">
      <c r="A173" t="e">
        <f>VLOOKUP(A1,InvoicesData!$A$1:$DZU$1000000,2926,FALSE)</f>
        <v>#N/A</v>
      </c>
      <c r="B173" t="e">
        <f>VLOOKUP(A1,InvoicesData!$A$1:$DZU$1000000,2927,FALSE)</f>
        <v>#N/A</v>
      </c>
      <c r="C173" t="e">
        <f>VLOOKUP(A1,InvoicesData!$A$1:$DZU$1000000,2928,FALSE)</f>
        <v>#N/A</v>
      </c>
      <c r="D173" t="e">
        <f>VLOOKUP(A1,InvoicesData!$A$1:$DZU$1000000,2929,FALSE)</f>
        <v>#N/A</v>
      </c>
      <c r="E173" t="e">
        <f>VLOOKUP(A1,InvoicesData!$A$1:$DZU$1000000,2930,FALSE)</f>
        <v>#N/A</v>
      </c>
      <c r="F173" t="e">
        <f>VLOOKUP(A1,InvoicesData!$A$1:$DZU$1000000,2931,FALSE)</f>
        <v>#N/A</v>
      </c>
      <c r="G173" t="e">
        <f>VLOOKUP(A1,InvoicesData!$A$1:$DZU$1000000,2932,FALSE)</f>
        <v>#N/A</v>
      </c>
      <c r="H173" t="e">
        <f>VLOOKUP(A1,InvoicesData!$A$1:$DZU$1000000,2933,FALSE)</f>
        <v>#N/A</v>
      </c>
      <c r="I173" t="e">
        <f>VLOOKUP(A1,InvoicesData!$A$1:$DZU$1000000,2934,FALSE)</f>
        <v>#N/A</v>
      </c>
      <c r="J173" t="e">
        <f>VLOOKUP(A1,InvoicesData!$A$1:$DZU$1000000,2935,FALSE)</f>
        <v>#N/A</v>
      </c>
      <c r="K173" t="e">
        <f>VLOOKUP(A1,InvoicesData!$A$1:$DZU$1000000,2936,FALSE)</f>
        <v>#N/A</v>
      </c>
      <c r="L173" t="e">
        <f>VLOOKUP(A1,InvoicesData!$A$1:$DZU$1000000,2937,FALSE)</f>
        <v>#N/A</v>
      </c>
      <c r="M173" t="e">
        <f>VLOOKUP(A1,InvoicesData!$A$1:$DZU$1000000,2938,FALSE)</f>
        <v>#N/A</v>
      </c>
      <c r="N173" t="e">
        <f>VLOOKUP(A1,InvoicesData!$A$1:$DZU$1000000,2939,FALSE)</f>
        <v>#N/A</v>
      </c>
      <c r="O173" t="e">
        <f>VLOOKUP(A1,InvoicesData!$A$1:$DZU$1000000,2940,FALSE)</f>
        <v>#N/A</v>
      </c>
      <c r="P173" t="e">
        <f>VLOOKUP(A1,InvoicesData!$A$1:$DZU$1000000,2941,FALSE)</f>
        <v>#N/A</v>
      </c>
      <c r="Q173" t="e">
        <f>VLOOKUP(A1,InvoicesData!$A$1:$DZU$1000000,2942,FALSE)</f>
        <v>#N/A</v>
      </c>
    </row>
    <row r="174" spans="1:17">
      <c r="A174" t="e">
        <f>VLOOKUP(A1,InvoicesData!$A$1:$DZU$1000000,2943,FALSE)</f>
        <v>#N/A</v>
      </c>
      <c r="B174" t="e">
        <f>VLOOKUP(A1,InvoicesData!$A$1:$DZU$1000000,2944,FALSE)</f>
        <v>#N/A</v>
      </c>
      <c r="C174" t="e">
        <f>VLOOKUP(A1,InvoicesData!$A$1:$DZU$1000000,2945,FALSE)</f>
        <v>#N/A</v>
      </c>
      <c r="D174" t="e">
        <f>VLOOKUP(A1,InvoicesData!$A$1:$DZU$1000000,2946,FALSE)</f>
        <v>#N/A</v>
      </c>
      <c r="E174" t="e">
        <f>VLOOKUP(A1,InvoicesData!$A$1:$DZU$1000000,2947,FALSE)</f>
        <v>#N/A</v>
      </c>
      <c r="F174" t="e">
        <f>VLOOKUP(A1,InvoicesData!$A$1:$DZU$1000000,2948,FALSE)</f>
        <v>#N/A</v>
      </c>
      <c r="G174" t="e">
        <f>VLOOKUP(A1,InvoicesData!$A$1:$DZU$1000000,2949,FALSE)</f>
        <v>#N/A</v>
      </c>
      <c r="H174" t="e">
        <f>VLOOKUP(A1,InvoicesData!$A$1:$DZU$1000000,2950,FALSE)</f>
        <v>#N/A</v>
      </c>
      <c r="I174" t="e">
        <f>VLOOKUP(A1,InvoicesData!$A$1:$DZU$1000000,2951,FALSE)</f>
        <v>#N/A</v>
      </c>
      <c r="J174" t="e">
        <f>VLOOKUP(A1,InvoicesData!$A$1:$DZU$1000000,2952,FALSE)</f>
        <v>#N/A</v>
      </c>
      <c r="K174" t="e">
        <f>VLOOKUP(A1,InvoicesData!$A$1:$DZU$1000000,2953,FALSE)</f>
        <v>#N/A</v>
      </c>
      <c r="L174" t="e">
        <f>VLOOKUP(A1,InvoicesData!$A$1:$DZU$1000000,2954,FALSE)</f>
        <v>#N/A</v>
      </c>
      <c r="M174" t="e">
        <f>VLOOKUP(A1,InvoicesData!$A$1:$DZU$1000000,2955,FALSE)</f>
        <v>#N/A</v>
      </c>
      <c r="N174" t="e">
        <f>VLOOKUP(A1,InvoicesData!$A$1:$DZU$1000000,2956,FALSE)</f>
        <v>#N/A</v>
      </c>
      <c r="O174" t="e">
        <f>VLOOKUP(A1,InvoicesData!$A$1:$DZU$1000000,2957,FALSE)</f>
        <v>#N/A</v>
      </c>
      <c r="P174" t="e">
        <f>VLOOKUP(A1,InvoicesData!$A$1:$DZU$1000000,2958,FALSE)</f>
        <v>#N/A</v>
      </c>
      <c r="Q174" t="e">
        <f>VLOOKUP(A1,InvoicesData!$A$1:$DZU$1000000,2959,FALSE)</f>
        <v>#N/A</v>
      </c>
    </row>
    <row r="175" spans="1:17">
      <c r="A175" t="e">
        <f>VLOOKUP(A1,InvoicesData!$A$1:$DZU$1000000,2960,FALSE)</f>
        <v>#N/A</v>
      </c>
      <c r="B175" t="e">
        <f>VLOOKUP(A1,InvoicesData!$A$1:$DZU$1000000,2961,FALSE)</f>
        <v>#N/A</v>
      </c>
      <c r="C175" t="e">
        <f>VLOOKUP(A1,InvoicesData!$A$1:$DZU$1000000,2962,FALSE)</f>
        <v>#N/A</v>
      </c>
      <c r="D175" t="e">
        <f>VLOOKUP(A1,InvoicesData!$A$1:$DZU$1000000,2963,FALSE)</f>
        <v>#N/A</v>
      </c>
      <c r="E175" t="e">
        <f>VLOOKUP(A1,InvoicesData!$A$1:$DZU$1000000,2964,FALSE)</f>
        <v>#N/A</v>
      </c>
      <c r="F175" t="e">
        <f>VLOOKUP(A1,InvoicesData!$A$1:$DZU$1000000,2965,FALSE)</f>
        <v>#N/A</v>
      </c>
      <c r="G175" t="e">
        <f>VLOOKUP(A1,InvoicesData!$A$1:$DZU$1000000,2966,FALSE)</f>
        <v>#N/A</v>
      </c>
      <c r="H175" t="e">
        <f>VLOOKUP(A1,InvoicesData!$A$1:$DZU$1000000,2967,FALSE)</f>
        <v>#N/A</v>
      </c>
      <c r="I175" t="e">
        <f>VLOOKUP(A1,InvoicesData!$A$1:$DZU$1000000,2968,FALSE)</f>
        <v>#N/A</v>
      </c>
      <c r="J175" t="e">
        <f>VLOOKUP(A1,InvoicesData!$A$1:$DZU$1000000,2969,FALSE)</f>
        <v>#N/A</v>
      </c>
      <c r="K175" t="e">
        <f>VLOOKUP(A1,InvoicesData!$A$1:$DZU$1000000,2970,FALSE)</f>
        <v>#N/A</v>
      </c>
      <c r="L175" t="e">
        <f>VLOOKUP(A1,InvoicesData!$A$1:$DZU$1000000,2971,FALSE)</f>
        <v>#N/A</v>
      </c>
      <c r="M175" t="e">
        <f>VLOOKUP(A1,InvoicesData!$A$1:$DZU$1000000,2972,FALSE)</f>
        <v>#N/A</v>
      </c>
      <c r="N175" t="e">
        <f>VLOOKUP(A1,InvoicesData!$A$1:$DZU$1000000,2973,FALSE)</f>
        <v>#N/A</v>
      </c>
      <c r="O175" t="e">
        <f>VLOOKUP(A1,InvoicesData!$A$1:$DZU$1000000,2974,FALSE)</f>
        <v>#N/A</v>
      </c>
      <c r="P175" t="e">
        <f>VLOOKUP(A1,InvoicesData!$A$1:$DZU$1000000,2975,FALSE)</f>
        <v>#N/A</v>
      </c>
      <c r="Q175" t="e">
        <f>VLOOKUP(A1,InvoicesData!$A$1:$DZU$1000000,2976,FALSE)</f>
        <v>#N/A</v>
      </c>
    </row>
    <row r="176" spans="1:17">
      <c r="A176" t="e">
        <f>VLOOKUP(A1,InvoicesData!$A$1:$DZU$1000000,2977,FALSE)</f>
        <v>#N/A</v>
      </c>
      <c r="B176" t="e">
        <f>VLOOKUP(A1,InvoicesData!$A$1:$DZU$1000000,2978,FALSE)</f>
        <v>#N/A</v>
      </c>
      <c r="C176" t="e">
        <f>VLOOKUP(A1,InvoicesData!$A$1:$DZU$1000000,2979,FALSE)</f>
        <v>#N/A</v>
      </c>
      <c r="D176" t="e">
        <f>VLOOKUP(A1,InvoicesData!$A$1:$DZU$1000000,2980,FALSE)</f>
        <v>#N/A</v>
      </c>
      <c r="E176" t="e">
        <f>VLOOKUP(A1,InvoicesData!$A$1:$DZU$1000000,2981,FALSE)</f>
        <v>#N/A</v>
      </c>
      <c r="F176" t="e">
        <f>VLOOKUP(A1,InvoicesData!$A$1:$DZU$1000000,2982,FALSE)</f>
        <v>#N/A</v>
      </c>
      <c r="G176" t="e">
        <f>VLOOKUP(A1,InvoicesData!$A$1:$DZU$1000000,2983,FALSE)</f>
        <v>#N/A</v>
      </c>
      <c r="H176" t="e">
        <f>VLOOKUP(A1,InvoicesData!$A$1:$DZU$1000000,2984,FALSE)</f>
        <v>#N/A</v>
      </c>
      <c r="I176" t="e">
        <f>VLOOKUP(A1,InvoicesData!$A$1:$DZU$1000000,2985,FALSE)</f>
        <v>#N/A</v>
      </c>
      <c r="J176" t="e">
        <f>VLOOKUP(A1,InvoicesData!$A$1:$DZU$1000000,2986,FALSE)</f>
        <v>#N/A</v>
      </c>
      <c r="K176" t="e">
        <f>VLOOKUP(A1,InvoicesData!$A$1:$DZU$1000000,2987,FALSE)</f>
        <v>#N/A</v>
      </c>
      <c r="L176" t="e">
        <f>VLOOKUP(A1,InvoicesData!$A$1:$DZU$1000000,2988,FALSE)</f>
        <v>#N/A</v>
      </c>
      <c r="M176" t="e">
        <f>VLOOKUP(A1,InvoicesData!$A$1:$DZU$1000000,2989,FALSE)</f>
        <v>#N/A</v>
      </c>
      <c r="N176" t="e">
        <f>VLOOKUP(A1,InvoicesData!$A$1:$DZU$1000000,2990,FALSE)</f>
        <v>#N/A</v>
      </c>
      <c r="O176" t="e">
        <f>VLOOKUP(A1,InvoicesData!$A$1:$DZU$1000000,2991,FALSE)</f>
        <v>#N/A</v>
      </c>
      <c r="P176" t="e">
        <f>VLOOKUP(A1,InvoicesData!$A$1:$DZU$1000000,2992,FALSE)</f>
        <v>#N/A</v>
      </c>
      <c r="Q176" t="e">
        <f>VLOOKUP(A1,InvoicesData!$A$1:$DZU$1000000,2993,FALSE)</f>
        <v>#N/A</v>
      </c>
    </row>
    <row r="177" spans="1:17">
      <c r="A177" t="e">
        <f>VLOOKUP(A1,InvoicesData!$A$1:$DZU$1000000,2994,FALSE)</f>
        <v>#N/A</v>
      </c>
      <c r="B177" t="e">
        <f>VLOOKUP(A1,InvoicesData!$A$1:$DZU$1000000,2995,FALSE)</f>
        <v>#N/A</v>
      </c>
      <c r="C177" t="e">
        <f>VLOOKUP(A1,InvoicesData!$A$1:$DZU$1000000,2996,FALSE)</f>
        <v>#N/A</v>
      </c>
      <c r="D177" t="e">
        <f>VLOOKUP(A1,InvoicesData!$A$1:$DZU$1000000,2997,FALSE)</f>
        <v>#N/A</v>
      </c>
      <c r="E177" t="e">
        <f>VLOOKUP(A1,InvoicesData!$A$1:$DZU$1000000,2998,FALSE)</f>
        <v>#N/A</v>
      </c>
      <c r="F177" t="e">
        <f>VLOOKUP(A1,InvoicesData!$A$1:$DZU$1000000,2999,FALSE)</f>
        <v>#N/A</v>
      </c>
      <c r="G177" t="e">
        <f>VLOOKUP(A1,InvoicesData!$A$1:$DZU$1000000,3000,FALSE)</f>
        <v>#N/A</v>
      </c>
      <c r="H177" t="e">
        <f>VLOOKUP(A1,InvoicesData!$A$1:$DZU$1000000,3001,FALSE)</f>
        <v>#N/A</v>
      </c>
      <c r="I177" t="e">
        <f>VLOOKUP(A1,InvoicesData!$A$1:$DZU$1000000,3002,FALSE)</f>
        <v>#N/A</v>
      </c>
      <c r="J177" t="e">
        <f>VLOOKUP(A1,InvoicesData!$A$1:$DZU$1000000,3003,FALSE)</f>
        <v>#N/A</v>
      </c>
      <c r="K177" t="e">
        <f>VLOOKUP(A1,InvoicesData!$A$1:$DZU$1000000,3004,FALSE)</f>
        <v>#N/A</v>
      </c>
      <c r="L177" t="e">
        <f>VLOOKUP(A1,InvoicesData!$A$1:$DZU$1000000,3005,FALSE)</f>
        <v>#N/A</v>
      </c>
      <c r="M177" t="e">
        <f>VLOOKUP(A1,InvoicesData!$A$1:$DZU$1000000,3006,FALSE)</f>
        <v>#N/A</v>
      </c>
      <c r="N177" t="e">
        <f>VLOOKUP(A1,InvoicesData!$A$1:$DZU$1000000,3007,FALSE)</f>
        <v>#N/A</v>
      </c>
      <c r="O177" t="e">
        <f>VLOOKUP(A1,InvoicesData!$A$1:$DZU$1000000,3008,FALSE)</f>
        <v>#N/A</v>
      </c>
      <c r="P177" t="e">
        <f>VLOOKUP(A1,InvoicesData!$A$1:$DZU$1000000,3009,FALSE)</f>
        <v>#N/A</v>
      </c>
      <c r="Q177" t="e">
        <f>VLOOKUP(A1,InvoicesData!$A$1:$DZU$1000000,3010,FALSE)</f>
        <v>#N/A</v>
      </c>
    </row>
    <row r="178" spans="1:17">
      <c r="A178" t="e">
        <f>VLOOKUP(A1,InvoicesData!$A$1:$DZU$1000000,3011,FALSE)</f>
        <v>#N/A</v>
      </c>
      <c r="B178" t="e">
        <f>VLOOKUP(A1,InvoicesData!$A$1:$DZU$1000000,3012,FALSE)</f>
        <v>#N/A</v>
      </c>
      <c r="C178" t="e">
        <f>VLOOKUP(A1,InvoicesData!$A$1:$DZU$1000000,3013,FALSE)</f>
        <v>#N/A</v>
      </c>
      <c r="D178" t="e">
        <f>VLOOKUP(A1,InvoicesData!$A$1:$DZU$1000000,3014,FALSE)</f>
        <v>#N/A</v>
      </c>
      <c r="E178" t="e">
        <f>VLOOKUP(A1,InvoicesData!$A$1:$DZU$1000000,3015,FALSE)</f>
        <v>#N/A</v>
      </c>
      <c r="F178" t="e">
        <f>VLOOKUP(A1,InvoicesData!$A$1:$DZU$1000000,3016,FALSE)</f>
        <v>#N/A</v>
      </c>
      <c r="G178" t="e">
        <f>VLOOKUP(A1,InvoicesData!$A$1:$DZU$1000000,3017,FALSE)</f>
        <v>#N/A</v>
      </c>
      <c r="H178" t="e">
        <f>VLOOKUP(A1,InvoicesData!$A$1:$DZU$1000000,3018,FALSE)</f>
        <v>#N/A</v>
      </c>
      <c r="I178" t="e">
        <f>VLOOKUP(A1,InvoicesData!$A$1:$DZU$1000000,3019,FALSE)</f>
        <v>#N/A</v>
      </c>
      <c r="J178" t="e">
        <f>VLOOKUP(A1,InvoicesData!$A$1:$DZU$1000000,3020,FALSE)</f>
        <v>#N/A</v>
      </c>
      <c r="K178" t="e">
        <f>VLOOKUP(A1,InvoicesData!$A$1:$DZU$1000000,3021,FALSE)</f>
        <v>#N/A</v>
      </c>
      <c r="L178" t="e">
        <f>VLOOKUP(A1,InvoicesData!$A$1:$DZU$1000000,3022,FALSE)</f>
        <v>#N/A</v>
      </c>
      <c r="M178" t="e">
        <f>VLOOKUP(A1,InvoicesData!$A$1:$DZU$1000000,3023,FALSE)</f>
        <v>#N/A</v>
      </c>
      <c r="N178" t="e">
        <f>VLOOKUP(A1,InvoicesData!$A$1:$DZU$1000000,3024,FALSE)</f>
        <v>#N/A</v>
      </c>
      <c r="O178" t="e">
        <f>VLOOKUP(A1,InvoicesData!$A$1:$DZU$1000000,3025,FALSE)</f>
        <v>#N/A</v>
      </c>
      <c r="P178" t="e">
        <f>VLOOKUP(A1,InvoicesData!$A$1:$DZU$1000000,3026,FALSE)</f>
        <v>#N/A</v>
      </c>
      <c r="Q178" t="e">
        <f>VLOOKUP(A1,InvoicesData!$A$1:$DZU$1000000,3027,FALSE)</f>
        <v>#N/A</v>
      </c>
    </row>
    <row r="179" spans="1:17">
      <c r="A179" t="e">
        <f>VLOOKUP(A1,InvoicesData!$A$1:$DZU$1000000,3028,FALSE)</f>
        <v>#N/A</v>
      </c>
      <c r="B179" t="e">
        <f>VLOOKUP(A1,InvoicesData!$A$1:$DZU$1000000,3029,FALSE)</f>
        <v>#N/A</v>
      </c>
      <c r="C179" t="e">
        <f>VLOOKUP(A1,InvoicesData!$A$1:$DZU$1000000,3030,FALSE)</f>
        <v>#N/A</v>
      </c>
      <c r="D179" t="e">
        <f>VLOOKUP(A1,InvoicesData!$A$1:$DZU$1000000,3031,FALSE)</f>
        <v>#N/A</v>
      </c>
      <c r="E179" t="e">
        <f>VLOOKUP(A1,InvoicesData!$A$1:$DZU$1000000,3032,FALSE)</f>
        <v>#N/A</v>
      </c>
      <c r="F179" t="e">
        <f>VLOOKUP(A1,InvoicesData!$A$1:$DZU$1000000,3033,FALSE)</f>
        <v>#N/A</v>
      </c>
      <c r="G179" t="e">
        <f>VLOOKUP(A1,InvoicesData!$A$1:$DZU$1000000,3034,FALSE)</f>
        <v>#N/A</v>
      </c>
      <c r="H179" t="e">
        <f>VLOOKUP(A1,InvoicesData!$A$1:$DZU$1000000,3035,FALSE)</f>
        <v>#N/A</v>
      </c>
      <c r="I179" t="e">
        <f>VLOOKUP(A1,InvoicesData!$A$1:$DZU$1000000,3036,FALSE)</f>
        <v>#N/A</v>
      </c>
      <c r="J179" t="e">
        <f>VLOOKUP(A1,InvoicesData!$A$1:$DZU$1000000,3037,FALSE)</f>
        <v>#N/A</v>
      </c>
      <c r="K179" t="e">
        <f>VLOOKUP(A1,InvoicesData!$A$1:$DZU$1000000,3038,FALSE)</f>
        <v>#N/A</v>
      </c>
      <c r="L179" t="e">
        <f>VLOOKUP(A1,InvoicesData!$A$1:$DZU$1000000,3039,FALSE)</f>
        <v>#N/A</v>
      </c>
      <c r="M179" t="e">
        <f>VLOOKUP(A1,InvoicesData!$A$1:$DZU$1000000,3040,FALSE)</f>
        <v>#N/A</v>
      </c>
      <c r="N179" t="e">
        <f>VLOOKUP(A1,InvoicesData!$A$1:$DZU$1000000,3041,FALSE)</f>
        <v>#N/A</v>
      </c>
      <c r="O179" t="e">
        <f>VLOOKUP(A1,InvoicesData!$A$1:$DZU$1000000,3042,FALSE)</f>
        <v>#N/A</v>
      </c>
      <c r="P179" t="e">
        <f>VLOOKUP(A1,InvoicesData!$A$1:$DZU$1000000,3043,FALSE)</f>
        <v>#N/A</v>
      </c>
      <c r="Q179" t="e">
        <f>VLOOKUP(A1,InvoicesData!$A$1:$DZU$1000000,3044,FALSE)</f>
        <v>#N/A</v>
      </c>
    </row>
    <row r="180" spans="1:17">
      <c r="A180" t="e">
        <f>VLOOKUP(A1,InvoicesData!$A$1:$DZU$1000000,3045,FALSE)</f>
        <v>#N/A</v>
      </c>
      <c r="B180" t="e">
        <f>VLOOKUP(A1,InvoicesData!$A$1:$DZU$1000000,3046,FALSE)</f>
        <v>#N/A</v>
      </c>
      <c r="C180" t="e">
        <f>VLOOKUP(A1,InvoicesData!$A$1:$DZU$1000000,3047,FALSE)</f>
        <v>#N/A</v>
      </c>
      <c r="D180" t="e">
        <f>VLOOKUP(A1,InvoicesData!$A$1:$DZU$1000000,3048,FALSE)</f>
        <v>#N/A</v>
      </c>
      <c r="E180" t="e">
        <f>VLOOKUP(A1,InvoicesData!$A$1:$DZU$1000000,3049,FALSE)</f>
        <v>#N/A</v>
      </c>
      <c r="F180" t="e">
        <f>VLOOKUP(A1,InvoicesData!$A$1:$DZU$1000000,3050,FALSE)</f>
        <v>#N/A</v>
      </c>
      <c r="G180" t="e">
        <f>VLOOKUP(A1,InvoicesData!$A$1:$DZU$1000000,3051,FALSE)</f>
        <v>#N/A</v>
      </c>
      <c r="H180" t="e">
        <f>VLOOKUP(A1,InvoicesData!$A$1:$DZU$1000000,3052,FALSE)</f>
        <v>#N/A</v>
      </c>
      <c r="I180" t="e">
        <f>VLOOKUP(A1,InvoicesData!$A$1:$DZU$1000000,3053,FALSE)</f>
        <v>#N/A</v>
      </c>
      <c r="J180" t="e">
        <f>VLOOKUP(A1,InvoicesData!$A$1:$DZU$1000000,3054,FALSE)</f>
        <v>#N/A</v>
      </c>
      <c r="K180" t="e">
        <f>VLOOKUP(A1,InvoicesData!$A$1:$DZU$1000000,3055,FALSE)</f>
        <v>#N/A</v>
      </c>
      <c r="L180" t="e">
        <f>VLOOKUP(A1,InvoicesData!$A$1:$DZU$1000000,3056,FALSE)</f>
        <v>#N/A</v>
      </c>
      <c r="M180" t="e">
        <f>VLOOKUP(A1,InvoicesData!$A$1:$DZU$1000000,3057,FALSE)</f>
        <v>#N/A</v>
      </c>
      <c r="N180" t="e">
        <f>VLOOKUP(A1,InvoicesData!$A$1:$DZU$1000000,3058,FALSE)</f>
        <v>#N/A</v>
      </c>
      <c r="O180" t="e">
        <f>VLOOKUP(A1,InvoicesData!$A$1:$DZU$1000000,3059,FALSE)</f>
        <v>#N/A</v>
      </c>
      <c r="P180" t="e">
        <f>VLOOKUP(A1,InvoicesData!$A$1:$DZU$1000000,3060,FALSE)</f>
        <v>#N/A</v>
      </c>
      <c r="Q180" t="e">
        <f>VLOOKUP(A1,InvoicesData!$A$1:$DZU$1000000,3061,FALSE)</f>
        <v>#N/A</v>
      </c>
    </row>
    <row r="181" spans="1:17">
      <c r="A181" t="e">
        <f>VLOOKUP(A1,InvoicesData!$A$1:$DZU$1000000,3062,FALSE)</f>
        <v>#N/A</v>
      </c>
      <c r="B181" t="e">
        <f>VLOOKUP(A1,InvoicesData!$A$1:$DZU$1000000,3063,FALSE)</f>
        <v>#N/A</v>
      </c>
      <c r="C181" t="e">
        <f>VLOOKUP(A1,InvoicesData!$A$1:$DZU$1000000,3064,FALSE)</f>
        <v>#N/A</v>
      </c>
      <c r="D181" t="e">
        <f>VLOOKUP(A1,InvoicesData!$A$1:$DZU$1000000,3065,FALSE)</f>
        <v>#N/A</v>
      </c>
      <c r="E181" t="e">
        <f>VLOOKUP(A1,InvoicesData!$A$1:$DZU$1000000,3066,FALSE)</f>
        <v>#N/A</v>
      </c>
      <c r="F181" t="e">
        <f>VLOOKUP(A1,InvoicesData!$A$1:$DZU$1000000,3067,FALSE)</f>
        <v>#N/A</v>
      </c>
      <c r="G181" t="e">
        <f>VLOOKUP(A1,InvoicesData!$A$1:$DZU$1000000,3068,FALSE)</f>
        <v>#N/A</v>
      </c>
      <c r="H181" t="e">
        <f>VLOOKUP(A1,InvoicesData!$A$1:$DZU$1000000,3069,FALSE)</f>
        <v>#N/A</v>
      </c>
      <c r="I181" t="e">
        <f>VLOOKUP(A1,InvoicesData!$A$1:$DZU$1000000,3070,FALSE)</f>
        <v>#N/A</v>
      </c>
      <c r="J181" t="e">
        <f>VLOOKUP(A1,InvoicesData!$A$1:$DZU$1000000,3071,FALSE)</f>
        <v>#N/A</v>
      </c>
      <c r="K181" t="e">
        <f>VLOOKUP(A1,InvoicesData!$A$1:$DZU$1000000,3072,FALSE)</f>
        <v>#N/A</v>
      </c>
      <c r="L181" t="e">
        <f>VLOOKUP(A1,InvoicesData!$A$1:$DZU$1000000,3073,FALSE)</f>
        <v>#N/A</v>
      </c>
      <c r="M181" t="e">
        <f>VLOOKUP(A1,InvoicesData!$A$1:$DZU$1000000,3074,FALSE)</f>
        <v>#N/A</v>
      </c>
      <c r="N181" t="e">
        <f>VLOOKUP(A1,InvoicesData!$A$1:$DZU$1000000,3075,FALSE)</f>
        <v>#N/A</v>
      </c>
      <c r="O181" t="e">
        <f>VLOOKUP(A1,InvoicesData!$A$1:$DZU$1000000,3076,FALSE)</f>
        <v>#N/A</v>
      </c>
      <c r="P181" t="e">
        <f>VLOOKUP(A1,InvoicesData!$A$1:$DZU$1000000,3077,FALSE)</f>
        <v>#N/A</v>
      </c>
      <c r="Q181" t="e">
        <f>VLOOKUP(A1,InvoicesData!$A$1:$DZU$1000000,3078,FALSE)</f>
        <v>#N/A</v>
      </c>
    </row>
    <row r="182" spans="1:17">
      <c r="A182" t="e">
        <f>VLOOKUP(A1,InvoicesData!$A$1:$DZU$1000000,3079,FALSE)</f>
        <v>#N/A</v>
      </c>
      <c r="B182" t="e">
        <f>VLOOKUP(A1,InvoicesData!$A$1:$DZU$1000000,3080,FALSE)</f>
        <v>#N/A</v>
      </c>
      <c r="C182" t="e">
        <f>VLOOKUP(A1,InvoicesData!$A$1:$DZU$1000000,3081,FALSE)</f>
        <v>#N/A</v>
      </c>
      <c r="D182" t="e">
        <f>VLOOKUP(A1,InvoicesData!$A$1:$DZU$1000000,3082,FALSE)</f>
        <v>#N/A</v>
      </c>
      <c r="E182" t="e">
        <f>VLOOKUP(A1,InvoicesData!$A$1:$DZU$1000000,3083,FALSE)</f>
        <v>#N/A</v>
      </c>
      <c r="F182" t="e">
        <f>VLOOKUP(A1,InvoicesData!$A$1:$DZU$1000000,3084,FALSE)</f>
        <v>#N/A</v>
      </c>
      <c r="G182" t="e">
        <f>VLOOKUP(A1,InvoicesData!$A$1:$DZU$1000000,3085,FALSE)</f>
        <v>#N/A</v>
      </c>
      <c r="H182" t="e">
        <f>VLOOKUP(A1,InvoicesData!$A$1:$DZU$1000000,3086,FALSE)</f>
        <v>#N/A</v>
      </c>
      <c r="I182" t="e">
        <f>VLOOKUP(A1,InvoicesData!$A$1:$DZU$1000000,3087,FALSE)</f>
        <v>#N/A</v>
      </c>
      <c r="J182" t="e">
        <f>VLOOKUP(A1,InvoicesData!$A$1:$DZU$1000000,3088,FALSE)</f>
        <v>#N/A</v>
      </c>
      <c r="K182" t="e">
        <f>VLOOKUP(A1,InvoicesData!$A$1:$DZU$1000000,3089,FALSE)</f>
        <v>#N/A</v>
      </c>
      <c r="L182" t="e">
        <f>VLOOKUP(A1,InvoicesData!$A$1:$DZU$1000000,3090,FALSE)</f>
        <v>#N/A</v>
      </c>
      <c r="M182" t="e">
        <f>VLOOKUP(A1,InvoicesData!$A$1:$DZU$1000000,3091,FALSE)</f>
        <v>#N/A</v>
      </c>
      <c r="N182" t="e">
        <f>VLOOKUP(A1,InvoicesData!$A$1:$DZU$1000000,3092,FALSE)</f>
        <v>#N/A</v>
      </c>
      <c r="O182" t="e">
        <f>VLOOKUP(A1,InvoicesData!$A$1:$DZU$1000000,3093,FALSE)</f>
        <v>#N/A</v>
      </c>
      <c r="P182" t="e">
        <f>VLOOKUP(A1,InvoicesData!$A$1:$DZU$1000000,3094,FALSE)</f>
        <v>#N/A</v>
      </c>
      <c r="Q182" t="e">
        <f>VLOOKUP(A1,InvoicesData!$A$1:$DZU$1000000,3095,FALSE)</f>
        <v>#N/A</v>
      </c>
    </row>
    <row r="183" spans="1:17">
      <c r="A183" t="e">
        <f>VLOOKUP(A1,InvoicesData!$A$1:$DZU$1000000,3096,FALSE)</f>
        <v>#N/A</v>
      </c>
      <c r="B183" t="e">
        <f>VLOOKUP(A1,InvoicesData!$A$1:$DZU$1000000,3097,FALSE)</f>
        <v>#N/A</v>
      </c>
      <c r="C183" t="e">
        <f>VLOOKUP(A1,InvoicesData!$A$1:$DZU$1000000,3098,FALSE)</f>
        <v>#N/A</v>
      </c>
      <c r="D183" t="e">
        <f>VLOOKUP(A1,InvoicesData!$A$1:$DZU$1000000,3099,FALSE)</f>
        <v>#N/A</v>
      </c>
      <c r="E183" t="e">
        <f>VLOOKUP(A1,InvoicesData!$A$1:$DZU$1000000,3100,FALSE)</f>
        <v>#N/A</v>
      </c>
      <c r="F183" t="e">
        <f>VLOOKUP(A1,InvoicesData!$A$1:$DZU$1000000,3101,FALSE)</f>
        <v>#N/A</v>
      </c>
      <c r="G183" t="e">
        <f>VLOOKUP(A1,InvoicesData!$A$1:$DZU$1000000,3102,FALSE)</f>
        <v>#N/A</v>
      </c>
      <c r="H183" t="e">
        <f>VLOOKUP(A1,InvoicesData!$A$1:$DZU$1000000,3103,FALSE)</f>
        <v>#N/A</v>
      </c>
      <c r="I183" t="e">
        <f>VLOOKUP(A1,InvoicesData!$A$1:$DZU$1000000,3104,FALSE)</f>
        <v>#N/A</v>
      </c>
      <c r="J183" t="e">
        <f>VLOOKUP(A1,InvoicesData!$A$1:$DZU$1000000,3105,FALSE)</f>
        <v>#N/A</v>
      </c>
      <c r="K183" t="e">
        <f>VLOOKUP(A1,InvoicesData!$A$1:$DZU$1000000,3106,FALSE)</f>
        <v>#N/A</v>
      </c>
      <c r="L183" t="e">
        <f>VLOOKUP(A1,InvoicesData!$A$1:$DZU$1000000,3107,FALSE)</f>
        <v>#N/A</v>
      </c>
      <c r="M183" t="e">
        <f>VLOOKUP(A1,InvoicesData!$A$1:$DZU$1000000,3108,FALSE)</f>
        <v>#N/A</v>
      </c>
      <c r="N183" t="e">
        <f>VLOOKUP(A1,InvoicesData!$A$1:$DZU$1000000,3109,FALSE)</f>
        <v>#N/A</v>
      </c>
      <c r="O183" t="e">
        <f>VLOOKUP(A1,InvoicesData!$A$1:$DZU$1000000,3110,FALSE)</f>
        <v>#N/A</v>
      </c>
      <c r="P183" t="e">
        <f>VLOOKUP(A1,InvoicesData!$A$1:$DZU$1000000,3111,FALSE)</f>
        <v>#N/A</v>
      </c>
      <c r="Q183" t="e">
        <f>VLOOKUP(A1,InvoicesData!$A$1:$DZU$1000000,3112,FALSE)</f>
        <v>#N/A</v>
      </c>
    </row>
    <row r="184" spans="1:17">
      <c r="A184" t="e">
        <f>VLOOKUP(A1,InvoicesData!$A$1:$DZU$1000000,3113,FALSE)</f>
        <v>#N/A</v>
      </c>
      <c r="B184" t="e">
        <f>VLOOKUP(A1,InvoicesData!$A$1:$DZU$1000000,3114,FALSE)</f>
        <v>#N/A</v>
      </c>
      <c r="C184" t="e">
        <f>VLOOKUP(A1,InvoicesData!$A$1:$DZU$1000000,3115,FALSE)</f>
        <v>#N/A</v>
      </c>
      <c r="D184" t="e">
        <f>VLOOKUP(A1,InvoicesData!$A$1:$DZU$1000000,3116,FALSE)</f>
        <v>#N/A</v>
      </c>
      <c r="E184" t="e">
        <f>VLOOKUP(A1,InvoicesData!$A$1:$DZU$1000000,3117,FALSE)</f>
        <v>#N/A</v>
      </c>
      <c r="F184" t="e">
        <f>VLOOKUP(A1,InvoicesData!$A$1:$DZU$1000000,3118,FALSE)</f>
        <v>#N/A</v>
      </c>
      <c r="G184" t="e">
        <f>VLOOKUP(A1,InvoicesData!$A$1:$DZU$1000000,3119,FALSE)</f>
        <v>#N/A</v>
      </c>
      <c r="H184" t="e">
        <f>VLOOKUP(A1,InvoicesData!$A$1:$DZU$1000000,3120,FALSE)</f>
        <v>#N/A</v>
      </c>
      <c r="I184" t="e">
        <f>VLOOKUP(A1,InvoicesData!$A$1:$DZU$1000000,3121,FALSE)</f>
        <v>#N/A</v>
      </c>
      <c r="J184" t="e">
        <f>VLOOKUP(A1,InvoicesData!$A$1:$DZU$1000000,3122,FALSE)</f>
        <v>#N/A</v>
      </c>
      <c r="K184" t="e">
        <f>VLOOKUP(A1,InvoicesData!$A$1:$DZU$1000000,3123,FALSE)</f>
        <v>#N/A</v>
      </c>
      <c r="L184" t="e">
        <f>VLOOKUP(A1,InvoicesData!$A$1:$DZU$1000000,3124,FALSE)</f>
        <v>#N/A</v>
      </c>
      <c r="M184" t="e">
        <f>VLOOKUP(A1,InvoicesData!$A$1:$DZU$1000000,3125,FALSE)</f>
        <v>#N/A</v>
      </c>
      <c r="N184" t="e">
        <f>VLOOKUP(A1,InvoicesData!$A$1:$DZU$1000000,3126,FALSE)</f>
        <v>#N/A</v>
      </c>
      <c r="O184" t="e">
        <f>VLOOKUP(A1,InvoicesData!$A$1:$DZU$1000000,3127,FALSE)</f>
        <v>#N/A</v>
      </c>
      <c r="P184" t="e">
        <f>VLOOKUP(A1,InvoicesData!$A$1:$DZU$1000000,3128,FALSE)</f>
        <v>#N/A</v>
      </c>
      <c r="Q184" t="e">
        <f>VLOOKUP(A1,InvoicesData!$A$1:$DZU$1000000,3129,FALSE)</f>
        <v>#N/A</v>
      </c>
    </row>
    <row r="185" spans="1:17">
      <c r="A185" t="e">
        <f>VLOOKUP(A1,InvoicesData!$A$1:$DZU$1000000,3130,FALSE)</f>
        <v>#N/A</v>
      </c>
      <c r="B185" t="e">
        <f>VLOOKUP(A1,InvoicesData!$A$1:$DZU$1000000,3131,FALSE)</f>
        <v>#N/A</v>
      </c>
      <c r="C185" t="e">
        <f>VLOOKUP(A1,InvoicesData!$A$1:$DZU$1000000,3132,FALSE)</f>
        <v>#N/A</v>
      </c>
      <c r="D185" t="e">
        <f>VLOOKUP(A1,InvoicesData!$A$1:$DZU$1000000,3133,FALSE)</f>
        <v>#N/A</v>
      </c>
      <c r="E185" t="e">
        <f>VLOOKUP(A1,InvoicesData!$A$1:$DZU$1000000,3134,FALSE)</f>
        <v>#N/A</v>
      </c>
      <c r="F185" t="e">
        <f>VLOOKUP(A1,InvoicesData!$A$1:$DZU$1000000,3135,FALSE)</f>
        <v>#N/A</v>
      </c>
      <c r="G185" t="e">
        <f>VLOOKUP(A1,InvoicesData!$A$1:$DZU$1000000,3136,FALSE)</f>
        <v>#N/A</v>
      </c>
      <c r="H185" t="e">
        <f>VLOOKUP(A1,InvoicesData!$A$1:$DZU$1000000,3137,FALSE)</f>
        <v>#N/A</v>
      </c>
      <c r="I185" t="e">
        <f>VLOOKUP(A1,InvoicesData!$A$1:$DZU$1000000,3138,FALSE)</f>
        <v>#N/A</v>
      </c>
      <c r="J185" t="e">
        <f>VLOOKUP(A1,InvoicesData!$A$1:$DZU$1000000,3139,FALSE)</f>
        <v>#N/A</v>
      </c>
      <c r="K185" t="e">
        <f>VLOOKUP(A1,InvoicesData!$A$1:$DZU$1000000,3140,FALSE)</f>
        <v>#N/A</v>
      </c>
      <c r="L185" t="e">
        <f>VLOOKUP(A1,InvoicesData!$A$1:$DZU$1000000,3141,FALSE)</f>
        <v>#N/A</v>
      </c>
      <c r="M185" t="e">
        <f>VLOOKUP(A1,InvoicesData!$A$1:$DZU$1000000,3142,FALSE)</f>
        <v>#N/A</v>
      </c>
      <c r="N185" t="e">
        <f>VLOOKUP(A1,InvoicesData!$A$1:$DZU$1000000,3143,FALSE)</f>
        <v>#N/A</v>
      </c>
      <c r="O185" t="e">
        <f>VLOOKUP(A1,InvoicesData!$A$1:$DZU$1000000,3144,FALSE)</f>
        <v>#N/A</v>
      </c>
      <c r="P185" t="e">
        <f>VLOOKUP(A1,InvoicesData!$A$1:$DZU$1000000,3145,FALSE)</f>
        <v>#N/A</v>
      </c>
      <c r="Q185" t="e">
        <f>VLOOKUP(A1,InvoicesData!$A$1:$DZU$1000000,3146,FALSE)</f>
        <v>#N/A</v>
      </c>
    </row>
    <row r="186" spans="1:17">
      <c r="A186" t="e">
        <f>VLOOKUP(A1,InvoicesData!$A$1:$DZU$1000000,3147,FALSE)</f>
        <v>#N/A</v>
      </c>
      <c r="B186" t="e">
        <f>VLOOKUP(A1,InvoicesData!$A$1:$DZU$1000000,3148,FALSE)</f>
        <v>#N/A</v>
      </c>
      <c r="C186" t="e">
        <f>VLOOKUP(A1,InvoicesData!$A$1:$DZU$1000000,3149,FALSE)</f>
        <v>#N/A</v>
      </c>
      <c r="D186" t="e">
        <f>VLOOKUP(A1,InvoicesData!$A$1:$DZU$1000000,3150,FALSE)</f>
        <v>#N/A</v>
      </c>
      <c r="E186" t="e">
        <f>VLOOKUP(A1,InvoicesData!$A$1:$DZU$1000000,3151,FALSE)</f>
        <v>#N/A</v>
      </c>
      <c r="F186" t="e">
        <f>VLOOKUP(A1,InvoicesData!$A$1:$DZU$1000000,3152,FALSE)</f>
        <v>#N/A</v>
      </c>
      <c r="G186" t="e">
        <f>VLOOKUP(A1,InvoicesData!$A$1:$DZU$1000000,3153,FALSE)</f>
        <v>#N/A</v>
      </c>
      <c r="H186" t="e">
        <f>VLOOKUP(A1,InvoicesData!$A$1:$DZU$1000000,3154,FALSE)</f>
        <v>#N/A</v>
      </c>
      <c r="I186" t="e">
        <f>VLOOKUP(A1,InvoicesData!$A$1:$DZU$1000000,3155,FALSE)</f>
        <v>#N/A</v>
      </c>
      <c r="J186" t="e">
        <f>VLOOKUP(A1,InvoicesData!$A$1:$DZU$1000000,3156,FALSE)</f>
        <v>#N/A</v>
      </c>
      <c r="K186" t="e">
        <f>VLOOKUP(A1,InvoicesData!$A$1:$DZU$1000000,3157,FALSE)</f>
        <v>#N/A</v>
      </c>
      <c r="L186" t="e">
        <f>VLOOKUP(A1,InvoicesData!$A$1:$DZU$1000000,3158,FALSE)</f>
        <v>#N/A</v>
      </c>
      <c r="M186" t="e">
        <f>VLOOKUP(A1,InvoicesData!$A$1:$DZU$1000000,3159,FALSE)</f>
        <v>#N/A</v>
      </c>
      <c r="N186" t="e">
        <f>VLOOKUP(A1,InvoicesData!$A$1:$DZU$1000000,3160,FALSE)</f>
        <v>#N/A</v>
      </c>
      <c r="O186" t="e">
        <f>VLOOKUP(A1,InvoicesData!$A$1:$DZU$1000000,3161,FALSE)</f>
        <v>#N/A</v>
      </c>
      <c r="P186" t="e">
        <f>VLOOKUP(A1,InvoicesData!$A$1:$DZU$1000000,3162,FALSE)</f>
        <v>#N/A</v>
      </c>
      <c r="Q186" t="e">
        <f>VLOOKUP(A1,InvoicesData!$A$1:$DZU$1000000,3163,FALSE)</f>
        <v>#N/A</v>
      </c>
    </row>
    <row r="187" spans="1:17">
      <c r="A187" t="e">
        <f>VLOOKUP(A1,InvoicesData!$A$1:$DZU$1000000,3164,FALSE)</f>
        <v>#N/A</v>
      </c>
      <c r="B187" t="e">
        <f>VLOOKUP(A1,InvoicesData!$A$1:$DZU$1000000,3165,FALSE)</f>
        <v>#N/A</v>
      </c>
      <c r="C187" t="e">
        <f>VLOOKUP(A1,InvoicesData!$A$1:$DZU$1000000,3166,FALSE)</f>
        <v>#N/A</v>
      </c>
      <c r="D187" t="e">
        <f>VLOOKUP(A1,InvoicesData!$A$1:$DZU$1000000,3167,FALSE)</f>
        <v>#N/A</v>
      </c>
      <c r="E187" t="e">
        <f>VLOOKUP(A1,InvoicesData!$A$1:$DZU$1000000,3168,FALSE)</f>
        <v>#N/A</v>
      </c>
      <c r="F187" t="e">
        <f>VLOOKUP(A1,InvoicesData!$A$1:$DZU$1000000,3169,FALSE)</f>
        <v>#N/A</v>
      </c>
      <c r="G187" t="e">
        <f>VLOOKUP(A1,InvoicesData!$A$1:$DZU$1000000,3170,FALSE)</f>
        <v>#N/A</v>
      </c>
      <c r="H187" t="e">
        <f>VLOOKUP(A1,InvoicesData!$A$1:$DZU$1000000,3171,FALSE)</f>
        <v>#N/A</v>
      </c>
      <c r="I187" t="e">
        <f>VLOOKUP(A1,InvoicesData!$A$1:$DZU$1000000,3172,FALSE)</f>
        <v>#N/A</v>
      </c>
      <c r="J187" t="e">
        <f>VLOOKUP(A1,InvoicesData!$A$1:$DZU$1000000,3173,FALSE)</f>
        <v>#N/A</v>
      </c>
      <c r="K187" t="e">
        <f>VLOOKUP(A1,InvoicesData!$A$1:$DZU$1000000,3174,FALSE)</f>
        <v>#N/A</v>
      </c>
      <c r="L187" t="e">
        <f>VLOOKUP(A1,InvoicesData!$A$1:$DZU$1000000,3175,FALSE)</f>
        <v>#N/A</v>
      </c>
      <c r="M187" t="e">
        <f>VLOOKUP(A1,InvoicesData!$A$1:$DZU$1000000,3176,FALSE)</f>
        <v>#N/A</v>
      </c>
      <c r="N187" t="e">
        <f>VLOOKUP(A1,InvoicesData!$A$1:$DZU$1000000,3177,FALSE)</f>
        <v>#N/A</v>
      </c>
      <c r="O187" t="e">
        <f>VLOOKUP(A1,InvoicesData!$A$1:$DZU$1000000,3178,FALSE)</f>
        <v>#N/A</v>
      </c>
      <c r="P187" t="e">
        <f>VLOOKUP(A1,InvoicesData!$A$1:$DZU$1000000,3179,FALSE)</f>
        <v>#N/A</v>
      </c>
      <c r="Q187" t="e">
        <f>VLOOKUP(A1,InvoicesData!$A$1:$DZU$1000000,3180,FALSE)</f>
        <v>#N/A</v>
      </c>
    </row>
    <row r="188" spans="1:17">
      <c r="A188" t="e">
        <f>VLOOKUP(A1,InvoicesData!$A$1:$DZU$1000000,3181,FALSE)</f>
        <v>#N/A</v>
      </c>
      <c r="B188" t="e">
        <f>VLOOKUP(A1,InvoicesData!$A$1:$DZU$1000000,3182,FALSE)</f>
        <v>#N/A</v>
      </c>
      <c r="C188" t="e">
        <f>VLOOKUP(A1,InvoicesData!$A$1:$DZU$1000000,3183,FALSE)</f>
        <v>#N/A</v>
      </c>
      <c r="D188" t="e">
        <f>VLOOKUP(A1,InvoicesData!$A$1:$DZU$1000000,3184,FALSE)</f>
        <v>#N/A</v>
      </c>
      <c r="E188" t="e">
        <f>VLOOKUP(A1,InvoicesData!$A$1:$DZU$1000000,3185,FALSE)</f>
        <v>#N/A</v>
      </c>
      <c r="F188" t="e">
        <f>VLOOKUP(A1,InvoicesData!$A$1:$DZU$1000000,3186,FALSE)</f>
        <v>#N/A</v>
      </c>
      <c r="G188" t="e">
        <f>VLOOKUP(A1,InvoicesData!$A$1:$DZU$1000000,3187,FALSE)</f>
        <v>#N/A</v>
      </c>
      <c r="H188" t="e">
        <f>VLOOKUP(A1,InvoicesData!$A$1:$DZU$1000000,3188,FALSE)</f>
        <v>#N/A</v>
      </c>
      <c r="I188" t="e">
        <f>VLOOKUP(A1,InvoicesData!$A$1:$DZU$1000000,3189,FALSE)</f>
        <v>#N/A</v>
      </c>
      <c r="J188" t="e">
        <f>VLOOKUP(A1,InvoicesData!$A$1:$DZU$1000000,3190,FALSE)</f>
        <v>#N/A</v>
      </c>
      <c r="K188" t="e">
        <f>VLOOKUP(A1,InvoicesData!$A$1:$DZU$1000000,3191,FALSE)</f>
        <v>#N/A</v>
      </c>
      <c r="L188" t="e">
        <f>VLOOKUP(A1,InvoicesData!$A$1:$DZU$1000000,3192,FALSE)</f>
        <v>#N/A</v>
      </c>
      <c r="M188" t="e">
        <f>VLOOKUP(A1,InvoicesData!$A$1:$DZU$1000000,3193,FALSE)</f>
        <v>#N/A</v>
      </c>
      <c r="N188" t="e">
        <f>VLOOKUP(A1,InvoicesData!$A$1:$DZU$1000000,3194,FALSE)</f>
        <v>#N/A</v>
      </c>
      <c r="O188" t="e">
        <f>VLOOKUP(A1,InvoicesData!$A$1:$DZU$1000000,3195,FALSE)</f>
        <v>#N/A</v>
      </c>
      <c r="P188" t="e">
        <f>VLOOKUP(A1,InvoicesData!$A$1:$DZU$1000000,3196,FALSE)</f>
        <v>#N/A</v>
      </c>
      <c r="Q188" t="e">
        <f>VLOOKUP(A1,InvoicesData!$A$1:$DZU$1000000,3197,FALSE)</f>
        <v>#N/A</v>
      </c>
    </row>
    <row r="189" spans="1:17">
      <c r="A189" t="e">
        <f>VLOOKUP(A1,InvoicesData!$A$1:$DZU$1000000,3198,FALSE)</f>
        <v>#N/A</v>
      </c>
      <c r="B189" t="e">
        <f>VLOOKUP(A1,InvoicesData!$A$1:$DZU$1000000,3199,FALSE)</f>
        <v>#N/A</v>
      </c>
      <c r="C189" t="e">
        <f>VLOOKUP(A1,InvoicesData!$A$1:$DZU$1000000,3200,FALSE)</f>
        <v>#N/A</v>
      </c>
      <c r="D189" t="e">
        <f>VLOOKUP(A1,InvoicesData!$A$1:$DZU$1000000,3201,FALSE)</f>
        <v>#N/A</v>
      </c>
      <c r="E189" t="e">
        <f>VLOOKUP(A1,InvoicesData!$A$1:$DZU$1000000,3202,FALSE)</f>
        <v>#N/A</v>
      </c>
      <c r="F189" t="e">
        <f>VLOOKUP(A1,InvoicesData!$A$1:$DZU$1000000,3203,FALSE)</f>
        <v>#N/A</v>
      </c>
      <c r="G189" t="e">
        <f>VLOOKUP(A1,InvoicesData!$A$1:$DZU$1000000,3204,FALSE)</f>
        <v>#N/A</v>
      </c>
      <c r="H189" t="e">
        <f>VLOOKUP(A1,InvoicesData!$A$1:$DZU$1000000,3205,FALSE)</f>
        <v>#N/A</v>
      </c>
      <c r="I189" t="e">
        <f>VLOOKUP(A1,InvoicesData!$A$1:$DZU$1000000,3206,FALSE)</f>
        <v>#N/A</v>
      </c>
      <c r="J189" t="e">
        <f>VLOOKUP(A1,InvoicesData!$A$1:$DZU$1000000,3207,FALSE)</f>
        <v>#N/A</v>
      </c>
      <c r="K189" t="e">
        <f>VLOOKUP(A1,InvoicesData!$A$1:$DZU$1000000,3208,FALSE)</f>
        <v>#N/A</v>
      </c>
      <c r="L189" t="e">
        <f>VLOOKUP(A1,InvoicesData!$A$1:$DZU$1000000,3209,FALSE)</f>
        <v>#N/A</v>
      </c>
      <c r="M189" t="e">
        <f>VLOOKUP(A1,InvoicesData!$A$1:$DZU$1000000,3210,FALSE)</f>
        <v>#N/A</v>
      </c>
      <c r="N189" t="e">
        <f>VLOOKUP(A1,InvoicesData!$A$1:$DZU$1000000,3211,FALSE)</f>
        <v>#N/A</v>
      </c>
      <c r="O189" t="e">
        <f>VLOOKUP(A1,InvoicesData!$A$1:$DZU$1000000,3212,FALSE)</f>
        <v>#N/A</v>
      </c>
      <c r="P189" t="e">
        <f>VLOOKUP(A1,InvoicesData!$A$1:$DZU$1000000,3213,FALSE)</f>
        <v>#N/A</v>
      </c>
      <c r="Q189" t="e">
        <f>VLOOKUP(A1,InvoicesData!$A$1:$DZU$1000000,3214,FALSE)</f>
        <v>#N/A</v>
      </c>
    </row>
    <row r="190" spans="1:17">
      <c r="A190" t="e">
        <f>VLOOKUP(A1,InvoicesData!$A$1:$DZU$1000000,3215,FALSE)</f>
        <v>#N/A</v>
      </c>
      <c r="B190" t="e">
        <f>VLOOKUP(A1,InvoicesData!$A$1:$DZU$1000000,3216,FALSE)</f>
        <v>#N/A</v>
      </c>
      <c r="C190" t="e">
        <f>VLOOKUP(A1,InvoicesData!$A$1:$DZU$1000000,3217,FALSE)</f>
        <v>#N/A</v>
      </c>
      <c r="D190" t="e">
        <f>VLOOKUP(A1,InvoicesData!$A$1:$DZU$1000000,3218,FALSE)</f>
        <v>#N/A</v>
      </c>
      <c r="E190" t="e">
        <f>VLOOKUP(A1,InvoicesData!$A$1:$DZU$1000000,3219,FALSE)</f>
        <v>#N/A</v>
      </c>
      <c r="F190" t="e">
        <f>VLOOKUP(A1,InvoicesData!$A$1:$DZU$1000000,3220,FALSE)</f>
        <v>#N/A</v>
      </c>
      <c r="G190" t="e">
        <f>VLOOKUP(A1,InvoicesData!$A$1:$DZU$1000000,3221,FALSE)</f>
        <v>#N/A</v>
      </c>
      <c r="H190" t="e">
        <f>VLOOKUP(A1,InvoicesData!$A$1:$DZU$1000000,3222,FALSE)</f>
        <v>#N/A</v>
      </c>
      <c r="I190" t="e">
        <f>VLOOKUP(A1,InvoicesData!$A$1:$DZU$1000000,3223,FALSE)</f>
        <v>#N/A</v>
      </c>
      <c r="J190" t="e">
        <f>VLOOKUP(A1,InvoicesData!$A$1:$DZU$1000000,3224,FALSE)</f>
        <v>#N/A</v>
      </c>
      <c r="K190" t="e">
        <f>VLOOKUP(A1,InvoicesData!$A$1:$DZU$1000000,3225,FALSE)</f>
        <v>#N/A</v>
      </c>
      <c r="L190" t="e">
        <f>VLOOKUP(A1,InvoicesData!$A$1:$DZU$1000000,3226,FALSE)</f>
        <v>#N/A</v>
      </c>
      <c r="M190" t="e">
        <f>VLOOKUP(A1,InvoicesData!$A$1:$DZU$1000000,3227,FALSE)</f>
        <v>#N/A</v>
      </c>
      <c r="N190" t="e">
        <f>VLOOKUP(A1,InvoicesData!$A$1:$DZU$1000000,3228,FALSE)</f>
        <v>#N/A</v>
      </c>
      <c r="O190" t="e">
        <f>VLOOKUP(A1,InvoicesData!$A$1:$DZU$1000000,3229,FALSE)</f>
        <v>#N/A</v>
      </c>
      <c r="P190" t="e">
        <f>VLOOKUP(A1,InvoicesData!$A$1:$DZU$1000000,3230,FALSE)</f>
        <v>#N/A</v>
      </c>
      <c r="Q190" t="e">
        <f>VLOOKUP(A1,InvoicesData!$A$1:$DZU$1000000,3231,FALSE)</f>
        <v>#N/A</v>
      </c>
    </row>
    <row r="191" spans="1:17">
      <c r="A191" t="e">
        <f>VLOOKUP(A1,InvoicesData!$A$1:$DZU$1000000,3232,FALSE)</f>
        <v>#N/A</v>
      </c>
      <c r="B191" t="e">
        <f>VLOOKUP(A1,InvoicesData!$A$1:$DZU$1000000,3233,FALSE)</f>
        <v>#N/A</v>
      </c>
      <c r="C191" t="e">
        <f>VLOOKUP(A1,InvoicesData!$A$1:$DZU$1000000,3234,FALSE)</f>
        <v>#N/A</v>
      </c>
      <c r="D191" t="e">
        <f>VLOOKUP(A1,InvoicesData!$A$1:$DZU$1000000,3235,FALSE)</f>
        <v>#N/A</v>
      </c>
      <c r="E191" t="e">
        <f>VLOOKUP(A1,InvoicesData!$A$1:$DZU$1000000,3236,FALSE)</f>
        <v>#N/A</v>
      </c>
      <c r="F191" t="e">
        <f>VLOOKUP(A1,InvoicesData!$A$1:$DZU$1000000,3237,FALSE)</f>
        <v>#N/A</v>
      </c>
      <c r="G191" t="e">
        <f>VLOOKUP(A1,InvoicesData!$A$1:$DZU$1000000,3238,FALSE)</f>
        <v>#N/A</v>
      </c>
      <c r="H191" t="e">
        <f>VLOOKUP(A1,InvoicesData!$A$1:$DZU$1000000,3239,FALSE)</f>
        <v>#N/A</v>
      </c>
      <c r="I191" t="e">
        <f>VLOOKUP(A1,InvoicesData!$A$1:$DZU$1000000,3240,FALSE)</f>
        <v>#N/A</v>
      </c>
      <c r="J191" t="e">
        <f>VLOOKUP(A1,InvoicesData!$A$1:$DZU$1000000,3241,FALSE)</f>
        <v>#N/A</v>
      </c>
      <c r="K191" t="e">
        <f>VLOOKUP(A1,InvoicesData!$A$1:$DZU$1000000,3242,FALSE)</f>
        <v>#N/A</v>
      </c>
      <c r="L191" t="e">
        <f>VLOOKUP(A1,InvoicesData!$A$1:$DZU$1000000,3243,FALSE)</f>
        <v>#N/A</v>
      </c>
      <c r="M191" t="e">
        <f>VLOOKUP(A1,InvoicesData!$A$1:$DZU$1000000,3244,FALSE)</f>
        <v>#N/A</v>
      </c>
      <c r="N191" t="e">
        <f>VLOOKUP(A1,InvoicesData!$A$1:$DZU$1000000,3245,FALSE)</f>
        <v>#N/A</v>
      </c>
      <c r="O191" t="e">
        <f>VLOOKUP(A1,InvoicesData!$A$1:$DZU$1000000,3246,FALSE)</f>
        <v>#N/A</v>
      </c>
      <c r="P191" t="e">
        <f>VLOOKUP(A1,InvoicesData!$A$1:$DZU$1000000,3247,FALSE)</f>
        <v>#N/A</v>
      </c>
      <c r="Q191" t="e">
        <f>VLOOKUP(A1,InvoicesData!$A$1:$DZU$1000000,3248,FALSE)</f>
        <v>#N/A</v>
      </c>
    </row>
    <row r="192" spans="1:17">
      <c r="A192" t="e">
        <f>VLOOKUP(A1,InvoicesData!$A$1:$DZU$1000000,3249,FALSE)</f>
        <v>#N/A</v>
      </c>
      <c r="B192" t="e">
        <f>VLOOKUP(A1,InvoicesData!$A$1:$DZU$1000000,3250,FALSE)</f>
        <v>#N/A</v>
      </c>
      <c r="C192" t="e">
        <f>VLOOKUP(A1,InvoicesData!$A$1:$DZU$1000000,3251,FALSE)</f>
        <v>#N/A</v>
      </c>
      <c r="D192" t="e">
        <f>VLOOKUP(A1,InvoicesData!$A$1:$DZU$1000000,3252,FALSE)</f>
        <v>#N/A</v>
      </c>
      <c r="E192" t="e">
        <f>VLOOKUP(A1,InvoicesData!$A$1:$DZU$1000000,3253,FALSE)</f>
        <v>#N/A</v>
      </c>
      <c r="F192" t="e">
        <f>VLOOKUP(A1,InvoicesData!$A$1:$DZU$1000000,3254,FALSE)</f>
        <v>#N/A</v>
      </c>
      <c r="G192" t="e">
        <f>VLOOKUP(A1,InvoicesData!$A$1:$DZU$1000000,3255,FALSE)</f>
        <v>#N/A</v>
      </c>
      <c r="H192" t="e">
        <f>VLOOKUP(A1,InvoicesData!$A$1:$DZU$1000000,3256,FALSE)</f>
        <v>#N/A</v>
      </c>
      <c r="I192" t="e">
        <f>VLOOKUP(A1,InvoicesData!$A$1:$DZU$1000000,3257,FALSE)</f>
        <v>#N/A</v>
      </c>
      <c r="J192" t="e">
        <f>VLOOKUP(A1,InvoicesData!$A$1:$DZU$1000000,3258,FALSE)</f>
        <v>#N/A</v>
      </c>
      <c r="K192" t="e">
        <f>VLOOKUP(A1,InvoicesData!$A$1:$DZU$1000000,3259,FALSE)</f>
        <v>#N/A</v>
      </c>
      <c r="L192" t="e">
        <f>VLOOKUP(A1,InvoicesData!$A$1:$DZU$1000000,3260,FALSE)</f>
        <v>#N/A</v>
      </c>
      <c r="M192" t="e">
        <f>VLOOKUP(A1,InvoicesData!$A$1:$DZU$1000000,3261,FALSE)</f>
        <v>#N/A</v>
      </c>
      <c r="N192" t="e">
        <f>VLOOKUP(A1,InvoicesData!$A$1:$DZU$1000000,3262,FALSE)</f>
        <v>#N/A</v>
      </c>
      <c r="O192" t="e">
        <f>VLOOKUP(A1,InvoicesData!$A$1:$DZU$1000000,3263,FALSE)</f>
        <v>#N/A</v>
      </c>
      <c r="P192" t="e">
        <f>VLOOKUP(A1,InvoicesData!$A$1:$DZU$1000000,3264,FALSE)</f>
        <v>#N/A</v>
      </c>
      <c r="Q192" t="e">
        <f>VLOOKUP(A1,InvoicesData!$A$1:$DZU$1000000,3265,FALSE)</f>
        <v>#N/A</v>
      </c>
    </row>
    <row r="193" spans="1:17">
      <c r="A193" t="e">
        <f>VLOOKUP(A1,InvoicesData!$A$1:$DZU$1000000,3266,FALSE)</f>
        <v>#N/A</v>
      </c>
      <c r="B193" t="e">
        <f>VLOOKUP(A1,InvoicesData!$A$1:$DZU$1000000,3267,FALSE)</f>
        <v>#N/A</v>
      </c>
      <c r="C193" t="e">
        <f>VLOOKUP(A1,InvoicesData!$A$1:$DZU$1000000,3268,FALSE)</f>
        <v>#N/A</v>
      </c>
      <c r="D193" t="e">
        <f>VLOOKUP(A1,InvoicesData!$A$1:$DZU$1000000,3269,FALSE)</f>
        <v>#N/A</v>
      </c>
      <c r="E193" t="e">
        <f>VLOOKUP(A1,InvoicesData!$A$1:$DZU$1000000,3270,FALSE)</f>
        <v>#N/A</v>
      </c>
      <c r="F193" t="e">
        <f>VLOOKUP(A1,InvoicesData!$A$1:$DZU$1000000,3271,FALSE)</f>
        <v>#N/A</v>
      </c>
      <c r="G193" t="e">
        <f>VLOOKUP(A1,InvoicesData!$A$1:$DZU$1000000,3272,FALSE)</f>
        <v>#N/A</v>
      </c>
      <c r="H193" t="e">
        <f>VLOOKUP(A1,InvoicesData!$A$1:$DZU$1000000,3273,FALSE)</f>
        <v>#N/A</v>
      </c>
      <c r="I193" t="e">
        <f>VLOOKUP(A1,InvoicesData!$A$1:$DZU$1000000,3274,FALSE)</f>
        <v>#N/A</v>
      </c>
      <c r="J193" t="e">
        <f>VLOOKUP(A1,InvoicesData!$A$1:$DZU$1000000,3275,FALSE)</f>
        <v>#N/A</v>
      </c>
      <c r="K193" t="e">
        <f>VLOOKUP(A1,InvoicesData!$A$1:$DZU$1000000,3276,FALSE)</f>
        <v>#N/A</v>
      </c>
      <c r="L193" t="e">
        <f>VLOOKUP(A1,InvoicesData!$A$1:$DZU$1000000,3277,FALSE)</f>
        <v>#N/A</v>
      </c>
      <c r="M193" t="e">
        <f>VLOOKUP(A1,InvoicesData!$A$1:$DZU$1000000,3278,FALSE)</f>
        <v>#N/A</v>
      </c>
      <c r="N193" t="e">
        <f>VLOOKUP(A1,InvoicesData!$A$1:$DZU$1000000,3279,FALSE)</f>
        <v>#N/A</v>
      </c>
      <c r="O193" t="e">
        <f>VLOOKUP(A1,InvoicesData!$A$1:$DZU$1000000,3280,FALSE)</f>
        <v>#N/A</v>
      </c>
      <c r="P193" t="e">
        <f>VLOOKUP(A1,InvoicesData!$A$1:$DZU$1000000,3281,FALSE)</f>
        <v>#N/A</v>
      </c>
      <c r="Q193" t="e">
        <f>VLOOKUP(A1,InvoicesData!$A$1:$DZU$1000000,3282,FALSE)</f>
        <v>#N/A</v>
      </c>
    </row>
    <row r="194" spans="1:17">
      <c r="A194" t="e">
        <f>VLOOKUP(A1,InvoicesData!$A$1:$DZU$1000000,3283,FALSE)</f>
        <v>#N/A</v>
      </c>
      <c r="B194" t="e">
        <f>VLOOKUP(A1,InvoicesData!$A$1:$DZU$1000000,3284,FALSE)</f>
        <v>#N/A</v>
      </c>
      <c r="C194" t="e">
        <f>VLOOKUP(A1,InvoicesData!$A$1:$DZU$1000000,3285,FALSE)</f>
        <v>#N/A</v>
      </c>
      <c r="D194" t="e">
        <f>VLOOKUP(A1,InvoicesData!$A$1:$DZU$1000000,3286,FALSE)</f>
        <v>#N/A</v>
      </c>
      <c r="E194" t="e">
        <f>VLOOKUP(A1,InvoicesData!$A$1:$DZU$1000000,3287,FALSE)</f>
        <v>#N/A</v>
      </c>
      <c r="F194" t="e">
        <f>VLOOKUP(A1,InvoicesData!$A$1:$DZU$1000000,3288,FALSE)</f>
        <v>#N/A</v>
      </c>
      <c r="G194" t="e">
        <f>VLOOKUP(A1,InvoicesData!$A$1:$DZU$1000000,3289,FALSE)</f>
        <v>#N/A</v>
      </c>
      <c r="H194" t="e">
        <f>VLOOKUP(A1,InvoicesData!$A$1:$DZU$1000000,3290,FALSE)</f>
        <v>#N/A</v>
      </c>
      <c r="I194" t="e">
        <f>VLOOKUP(A1,InvoicesData!$A$1:$DZU$1000000,3291,FALSE)</f>
        <v>#N/A</v>
      </c>
      <c r="J194" t="e">
        <f>VLOOKUP(A1,InvoicesData!$A$1:$DZU$1000000,3292,FALSE)</f>
        <v>#N/A</v>
      </c>
      <c r="K194" t="e">
        <f>VLOOKUP(A1,InvoicesData!$A$1:$DZU$1000000,3293,FALSE)</f>
        <v>#N/A</v>
      </c>
      <c r="L194" t="e">
        <f>VLOOKUP(A1,InvoicesData!$A$1:$DZU$1000000,3294,FALSE)</f>
        <v>#N/A</v>
      </c>
      <c r="M194" t="e">
        <f>VLOOKUP(A1,InvoicesData!$A$1:$DZU$1000000,3295,FALSE)</f>
        <v>#N/A</v>
      </c>
      <c r="N194" t="e">
        <f>VLOOKUP(A1,InvoicesData!$A$1:$DZU$1000000,3296,FALSE)</f>
        <v>#N/A</v>
      </c>
      <c r="O194" t="e">
        <f>VLOOKUP(A1,InvoicesData!$A$1:$DZU$1000000,3297,FALSE)</f>
        <v>#N/A</v>
      </c>
      <c r="P194" t="e">
        <f>VLOOKUP(A1,InvoicesData!$A$1:$DZU$1000000,3298,FALSE)</f>
        <v>#N/A</v>
      </c>
      <c r="Q194" t="e">
        <f>VLOOKUP(A1,InvoicesData!$A$1:$DZU$1000000,3299,FALSE)</f>
        <v>#N/A</v>
      </c>
    </row>
    <row r="195" spans="1:17">
      <c r="A195" t="e">
        <f>VLOOKUP(A1,InvoicesData!$A$1:$DZU$1000000,3300,FALSE)</f>
        <v>#N/A</v>
      </c>
      <c r="B195" t="e">
        <f>VLOOKUP(A1,InvoicesData!$A$1:$DZU$1000000,3301,FALSE)</f>
        <v>#N/A</v>
      </c>
      <c r="C195" t="e">
        <f>VLOOKUP(A1,InvoicesData!$A$1:$DZU$1000000,3302,FALSE)</f>
        <v>#N/A</v>
      </c>
      <c r="D195" t="e">
        <f>VLOOKUP(A1,InvoicesData!$A$1:$DZU$1000000,3303,FALSE)</f>
        <v>#N/A</v>
      </c>
      <c r="E195" t="e">
        <f>VLOOKUP(A1,InvoicesData!$A$1:$DZU$1000000,3304,FALSE)</f>
        <v>#N/A</v>
      </c>
      <c r="F195" t="e">
        <f>VLOOKUP(A1,InvoicesData!$A$1:$DZU$1000000,3305,FALSE)</f>
        <v>#N/A</v>
      </c>
      <c r="G195" t="e">
        <f>VLOOKUP(A1,InvoicesData!$A$1:$DZU$1000000,3306,FALSE)</f>
        <v>#N/A</v>
      </c>
      <c r="H195" t="e">
        <f>VLOOKUP(A1,InvoicesData!$A$1:$DZU$1000000,3307,FALSE)</f>
        <v>#N/A</v>
      </c>
      <c r="I195" t="e">
        <f>VLOOKUP(A1,InvoicesData!$A$1:$DZU$1000000,3308,FALSE)</f>
        <v>#N/A</v>
      </c>
      <c r="J195" t="e">
        <f>VLOOKUP(A1,InvoicesData!$A$1:$DZU$1000000,3309,FALSE)</f>
        <v>#N/A</v>
      </c>
      <c r="K195" t="e">
        <f>VLOOKUP(A1,InvoicesData!$A$1:$DZU$1000000,3310,FALSE)</f>
        <v>#N/A</v>
      </c>
      <c r="L195" t="e">
        <f>VLOOKUP(A1,InvoicesData!$A$1:$DZU$1000000,3311,FALSE)</f>
        <v>#N/A</v>
      </c>
      <c r="M195" t="e">
        <f>VLOOKUP(A1,InvoicesData!$A$1:$DZU$1000000,3312,FALSE)</f>
        <v>#N/A</v>
      </c>
      <c r="N195" t="e">
        <f>VLOOKUP(A1,InvoicesData!$A$1:$DZU$1000000,3313,FALSE)</f>
        <v>#N/A</v>
      </c>
      <c r="O195" t="e">
        <f>VLOOKUP(A1,InvoicesData!$A$1:$DZU$1000000,3314,FALSE)</f>
        <v>#N/A</v>
      </c>
      <c r="P195" t="e">
        <f>VLOOKUP(A1,InvoicesData!$A$1:$DZU$1000000,3315,FALSE)</f>
        <v>#N/A</v>
      </c>
      <c r="Q195" t="e">
        <f>VLOOKUP(A1,InvoicesData!$A$1:$DZU$1000000,3316,FALSE)</f>
        <v>#N/A</v>
      </c>
    </row>
    <row r="196" spans="1:17">
      <c r="A196" t="e">
        <f>VLOOKUP(A1,InvoicesData!$A$1:$DZU$1000000,3317,FALSE)</f>
        <v>#N/A</v>
      </c>
      <c r="B196" t="e">
        <f>VLOOKUP(A1,InvoicesData!$A$1:$DZU$1000000,3318,FALSE)</f>
        <v>#N/A</v>
      </c>
      <c r="C196" t="e">
        <f>VLOOKUP(A1,InvoicesData!$A$1:$DZU$1000000,3319,FALSE)</f>
        <v>#N/A</v>
      </c>
      <c r="D196" t="e">
        <f>VLOOKUP(A1,InvoicesData!$A$1:$DZU$1000000,3320,FALSE)</f>
        <v>#N/A</v>
      </c>
      <c r="E196" t="e">
        <f>VLOOKUP(A1,InvoicesData!$A$1:$DZU$1000000,3321,FALSE)</f>
        <v>#N/A</v>
      </c>
      <c r="F196" t="e">
        <f>VLOOKUP(A1,InvoicesData!$A$1:$DZU$1000000,3322,FALSE)</f>
        <v>#N/A</v>
      </c>
      <c r="G196" t="e">
        <f>VLOOKUP(A1,InvoicesData!$A$1:$DZU$1000000,3323,FALSE)</f>
        <v>#N/A</v>
      </c>
      <c r="H196" t="e">
        <f>VLOOKUP(A1,InvoicesData!$A$1:$DZU$1000000,3324,FALSE)</f>
        <v>#N/A</v>
      </c>
      <c r="I196" t="e">
        <f>VLOOKUP(A1,InvoicesData!$A$1:$DZU$1000000,3325,FALSE)</f>
        <v>#N/A</v>
      </c>
      <c r="J196" t="e">
        <f>VLOOKUP(A1,InvoicesData!$A$1:$DZU$1000000,3326,FALSE)</f>
        <v>#N/A</v>
      </c>
      <c r="K196" t="e">
        <f>VLOOKUP(A1,InvoicesData!$A$1:$DZU$1000000,3327,FALSE)</f>
        <v>#N/A</v>
      </c>
      <c r="L196" t="e">
        <f>VLOOKUP(A1,InvoicesData!$A$1:$DZU$1000000,3328,FALSE)</f>
        <v>#N/A</v>
      </c>
      <c r="M196" t="e">
        <f>VLOOKUP(A1,InvoicesData!$A$1:$DZU$1000000,3329,FALSE)</f>
        <v>#N/A</v>
      </c>
      <c r="N196" t="e">
        <f>VLOOKUP(A1,InvoicesData!$A$1:$DZU$1000000,3330,FALSE)</f>
        <v>#N/A</v>
      </c>
      <c r="O196" t="e">
        <f>VLOOKUP(A1,InvoicesData!$A$1:$DZU$1000000,3331,FALSE)</f>
        <v>#N/A</v>
      </c>
      <c r="P196" t="e">
        <f>VLOOKUP(A1,InvoicesData!$A$1:$DZU$1000000,3332,FALSE)</f>
        <v>#N/A</v>
      </c>
      <c r="Q196" t="e">
        <f>VLOOKUP(A1,InvoicesData!$A$1:$DZU$1000000,3333,FALSE)</f>
        <v>#N/A</v>
      </c>
    </row>
    <row r="197" spans="1:17">
      <c r="A197" t="e">
        <f>VLOOKUP(A1,InvoicesData!$A$1:$DZU$1000000,3334,FALSE)</f>
        <v>#N/A</v>
      </c>
      <c r="B197" t="e">
        <f>VLOOKUP(A1,InvoicesData!$A$1:$DZU$1000000,3335,FALSE)</f>
        <v>#N/A</v>
      </c>
      <c r="C197" t="e">
        <f>VLOOKUP(A1,InvoicesData!$A$1:$DZU$1000000,3336,FALSE)</f>
        <v>#N/A</v>
      </c>
      <c r="D197" t="e">
        <f>VLOOKUP(A1,InvoicesData!$A$1:$DZU$1000000,3337,FALSE)</f>
        <v>#N/A</v>
      </c>
      <c r="E197" t="e">
        <f>VLOOKUP(A1,InvoicesData!$A$1:$DZU$1000000,3338,FALSE)</f>
        <v>#N/A</v>
      </c>
      <c r="F197" t="e">
        <f>VLOOKUP(A1,InvoicesData!$A$1:$DZU$1000000,3339,FALSE)</f>
        <v>#N/A</v>
      </c>
      <c r="G197" t="e">
        <f>VLOOKUP(A1,InvoicesData!$A$1:$DZU$1000000,3340,FALSE)</f>
        <v>#N/A</v>
      </c>
      <c r="H197" t="e">
        <f>VLOOKUP(A1,InvoicesData!$A$1:$DZU$1000000,3341,FALSE)</f>
        <v>#N/A</v>
      </c>
      <c r="I197" t="e">
        <f>VLOOKUP(A1,InvoicesData!$A$1:$DZU$1000000,3342,FALSE)</f>
        <v>#N/A</v>
      </c>
      <c r="J197" t="e">
        <f>VLOOKUP(A1,InvoicesData!$A$1:$DZU$1000000,3343,FALSE)</f>
        <v>#N/A</v>
      </c>
      <c r="K197" t="e">
        <f>VLOOKUP(A1,InvoicesData!$A$1:$DZU$1000000,3344,FALSE)</f>
        <v>#N/A</v>
      </c>
      <c r="L197" t="e">
        <f>VLOOKUP(A1,InvoicesData!$A$1:$DZU$1000000,3345,FALSE)</f>
        <v>#N/A</v>
      </c>
      <c r="M197" t="e">
        <f>VLOOKUP(A1,InvoicesData!$A$1:$DZU$1000000,3346,FALSE)</f>
        <v>#N/A</v>
      </c>
      <c r="N197" t="e">
        <f>VLOOKUP(A1,InvoicesData!$A$1:$DZU$1000000,3347,FALSE)</f>
        <v>#N/A</v>
      </c>
      <c r="O197" t="e">
        <f>VLOOKUP(A1,InvoicesData!$A$1:$DZU$1000000,3348,FALSE)</f>
        <v>#N/A</v>
      </c>
      <c r="P197" t="e">
        <f>VLOOKUP(A1,InvoicesData!$A$1:$DZU$1000000,3349,FALSE)</f>
        <v>#N/A</v>
      </c>
      <c r="Q197" t="e">
        <f>VLOOKUP(A1,InvoicesData!$A$1:$DZU$1000000,3350,FALSE)</f>
        <v>#N/A</v>
      </c>
    </row>
    <row r="198" spans="1:17">
      <c r="A198" t="e">
        <f>VLOOKUP(A1,InvoicesData!$A$1:$DZU$1000000,3351,FALSE)</f>
        <v>#N/A</v>
      </c>
      <c r="B198" t="e">
        <f>VLOOKUP(A1,InvoicesData!$A$1:$DZU$1000000,3352,FALSE)</f>
        <v>#N/A</v>
      </c>
      <c r="C198" t="e">
        <f>VLOOKUP(A1,InvoicesData!$A$1:$DZU$1000000,3353,FALSE)</f>
        <v>#N/A</v>
      </c>
      <c r="D198" t="e">
        <f>VLOOKUP(A1,InvoicesData!$A$1:$DZU$1000000,3354,FALSE)</f>
        <v>#N/A</v>
      </c>
      <c r="E198" t="e">
        <f>VLOOKUP(A1,InvoicesData!$A$1:$DZU$1000000,3355,FALSE)</f>
        <v>#N/A</v>
      </c>
      <c r="F198" t="e">
        <f>VLOOKUP(A1,InvoicesData!$A$1:$DZU$1000000,3356,FALSE)</f>
        <v>#N/A</v>
      </c>
      <c r="G198" t="e">
        <f>VLOOKUP(A1,InvoicesData!$A$1:$DZU$1000000,3357,FALSE)</f>
        <v>#N/A</v>
      </c>
      <c r="H198" t="e">
        <f>VLOOKUP(A1,InvoicesData!$A$1:$DZU$1000000,3358,FALSE)</f>
        <v>#N/A</v>
      </c>
      <c r="I198" t="e">
        <f>VLOOKUP(A1,InvoicesData!$A$1:$DZU$1000000,3359,FALSE)</f>
        <v>#N/A</v>
      </c>
      <c r="J198" t="e">
        <f>VLOOKUP(A1,InvoicesData!$A$1:$DZU$1000000,3360,FALSE)</f>
        <v>#N/A</v>
      </c>
      <c r="K198" t="e">
        <f>VLOOKUP(A1,InvoicesData!$A$1:$DZU$1000000,3361,FALSE)</f>
        <v>#N/A</v>
      </c>
      <c r="L198" t="e">
        <f>VLOOKUP(A1,InvoicesData!$A$1:$DZU$1000000,3362,FALSE)</f>
        <v>#N/A</v>
      </c>
      <c r="M198" t="e">
        <f>VLOOKUP(A1,InvoicesData!$A$1:$DZU$1000000,3363,FALSE)</f>
        <v>#N/A</v>
      </c>
      <c r="N198" t="e">
        <f>VLOOKUP(A1,InvoicesData!$A$1:$DZU$1000000,3364,FALSE)</f>
        <v>#N/A</v>
      </c>
      <c r="O198" t="e">
        <f>VLOOKUP(A1,InvoicesData!$A$1:$DZU$1000000,3365,FALSE)</f>
        <v>#N/A</v>
      </c>
      <c r="P198" t="e">
        <f>VLOOKUP(A1,InvoicesData!$A$1:$DZU$1000000,3366,FALSE)</f>
        <v>#N/A</v>
      </c>
      <c r="Q198" t="e">
        <f>VLOOKUP(A1,InvoicesData!$A$1:$DZU$1000000,3367,FALSE)</f>
        <v>#N/A</v>
      </c>
    </row>
    <row r="199" spans="1:17">
      <c r="A199" t="e">
        <f>VLOOKUP(A1,InvoicesData!$A$1:$DZU$1000000,3368,FALSE)</f>
        <v>#N/A</v>
      </c>
      <c r="B199" t="e">
        <f>VLOOKUP(A1,InvoicesData!$A$1:$DZU$1000000,3369,FALSE)</f>
        <v>#N/A</v>
      </c>
      <c r="C199" t="e">
        <f>VLOOKUP(A1,InvoicesData!$A$1:$DZU$1000000,3370,FALSE)</f>
        <v>#N/A</v>
      </c>
      <c r="D199" t="e">
        <f>VLOOKUP(A1,InvoicesData!$A$1:$DZU$1000000,3371,FALSE)</f>
        <v>#N/A</v>
      </c>
      <c r="E199" t="e">
        <f>VLOOKUP(A1,InvoicesData!$A$1:$DZU$1000000,3372,FALSE)</f>
        <v>#N/A</v>
      </c>
      <c r="F199" t="e">
        <f>VLOOKUP(A1,InvoicesData!$A$1:$DZU$1000000,3373,FALSE)</f>
        <v>#N/A</v>
      </c>
      <c r="G199" t="e">
        <f>VLOOKUP(A1,InvoicesData!$A$1:$DZU$1000000,3374,FALSE)</f>
        <v>#N/A</v>
      </c>
      <c r="H199" t="e">
        <f>VLOOKUP(A1,InvoicesData!$A$1:$DZU$1000000,3375,FALSE)</f>
        <v>#N/A</v>
      </c>
      <c r="I199" t="e">
        <f>VLOOKUP(A1,InvoicesData!$A$1:$DZU$1000000,3376,FALSE)</f>
        <v>#N/A</v>
      </c>
      <c r="J199" t="e">
        <f>VLOOKUP(A1,InvoicesData!$A$1:$DZU$1000000,3377,FALSE)</f>
        <v>#N/A</v>
      </c>
      <c r="K199" t="e">
        <f>VLOOKUP(A1,InvoicesData!$A$1:$DZU$1000000,3378,FALSE)</f>
        <v>#N/A</v>
      </c>
      <c r="L199" t="e">
        <f>VLOOKUP(A1,InvoicesData!$A$1:$DZU$1000000,3379,FALSE)</f>
        <v>#N/A</v>
      </c>
      <c r="M199" t="e">
        <f>VLOOKUP(A1,InvoicesData!$A$1:$DZU$1000000,3380,FALSE)</f>
        <v>#N/A</v>
      </c>
      <c r="N199" t="e">
        <f>VLOOKUP(A1,InvoicesData!$A$1:$DZU$1000000,3381,FALSE)</f>
        <v>#N/A</v>
      </c>
      <c r="O199" t="e">
        <f>VLOOKUP(A1,InvoicesData!$A$1:$DZU$1000000,3382,FALSE)</f>
        <v>#N/A</v>
      </c>
      <c r="P199" t="e">
        <f>VLOOKUP(A1,InvoicesData!$A$1:$DZU$1000000,3383,FALSE)</f>
        <v>#N/A</v>
      </c>
      <c r="Q199" t="e">
        <f>VLOOKUP(A1,InvoicesData!$A$1:$DZU$1000000,3384,FALSE)</f>
        <v>#N/A</v>
      </c>
    </row>
    <row r="200" spans="1:17">
      <c r="A200" t="e">
        <f>VLOOKUP(A1,InvoicesData!$A$1:$DZU$1000000,3385,FALSE)</f>
        <v>#N/A</v>
      </c>
      <c r="B200" t="e">
        <f>VLOOKUP(A1,InvoicesData!$A$1:$DZU$1000000,3386,FALSE)</f>
        <v>#N/A</v>
      </c>
      <c r="C200" t="e">
        <f>VLOOKUP(A1,InvoicesData!$A$1:$DZU$1000000,3387,FALSE)</f>
        <v>#N/A</v>
      </c>
      <c r="D200" t="e">
        <f>VLOOKUP(A1,InvoicesData!$A$1:$DZU$1000000,3388,FALSE)</f>
        <v>#N/A</v>
      </c>
      <c r="E200" t="e">
        <f>VLOOKUP(A1,InvoicesData!$A$1:$DZU$1000000,3389,FALSE)</f>
        <v>#N/A</v>
      </c>
      <c r="F200" t="e">
        <f>VLOOKUP(A1,InvoicesData!$A$1:$DZU$1000000,3390,FALSE)</f>
        <v>#N/A</v>
      </c>
      <c r="G200" t="e">
        <f>VLOOKUP(A1,InvoicesData!$A$1:$DZU$1000000,3391,FALSE)</f>
        <v>#N/A</v>
      </c>
      <c r="H200" t="e">
        <f>VLOOKUP(A1,InvoicesData!$A$1:$DZU$1000000,3392,FALSE)</f>
        <v>#N/A</v>
      </c>
      <c r="I200" t="e">
        <f>VLOOKUP(A1,InvoicesData!$A$1:$DZU$1000000,3393,FALSE)</f>
        <v>#N/A</v>
      </c>
      <c r="J200" t="e">
        <f>VLOOKUP(A1,InvoicesData!$A$1:$DZU$1000000,3394,FALSE)</f>
        <v>#N/A</v>
      </c>
      <c r="K200" t="e">
        <f>VLOOKUP(A1,InvoicesData!$A$1:$DZU$1000000,3395,FALSE)</f>
        <v>#N/A</v>
      </c>
      <c r="L200" t="e">
        <f>VLOOKUP(A1,InvoicesData!$A$1:$DZU$1000000,3396,FALSE)</f>
        <v>#N/A</v>
      </c>
      <c r="M200" t="e">
        <f>VLOOKUP(A1,InvoicesData!$A$1:$DZU$1000000,3397,FALSE)</f>
        <v>#N/A</v>
      </c>
      <c r="N200" t="e">
        <f>VLOOKUP(A1,InvoicesData!$A$1:$DZU$1000000,3398,FALSE)</f>
        <v>#N/A</v>
      </c>
      <c r="O200" t="e">
        <f>VLOOKUP(A1,InvoicesData!$A$1:$DZU$1000000,3399,FALSE)</f>
        <v>#N/A</v>
      </c>
      <c r="P200" t="e">
        <f>VLOOKUP(A1,InvoicesData!$A$1:$DZU$1000000,3400,FALSE)</f>
        <v>#N/A</v>
      </c>
      <c r="Q200" t="e">
        <f>VLOOKUP(A1,InvoicesData!$A$1:$DZU$1000000,3401,FALSE)</f>
        <v>#N/A</v>
      </c>
    </row>
  </sheetData>
  <mergeCells count="14">
    <mergeCell ref="A30:E30"/>
    <mergeCell ref="A31:E31"/>
    <mergeCell ref="A9:B9"/>
    <mergeCell ref="D9:E9"/>
    <mergeCell ref="A10:B10"/>
    <mergeCell ref="D10:E10"/>
    <mergeCell ref="A11:B11"/>
    <mergeCell ref="A12:B12"/>
    <mergeCell ref="B2:L2"/>
    <mergeCell ref="A3:E3"/>
    <mergeCell ref="A4:E4"/>
    <mergeCell ref="A5:E5"/>
    <mergeCell ref="A6:E6"/>
    <mergeCell ref="A7:E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CFF5B7-ABBC-4541-A236-3624A73C6229}">
          <x14:formula1>
            <xm:f>InvoicesData!$A:$A</xm:f>
          </x14:formula1>
          <xm:sqref>B2:L2</xm:sqref>
        </x14:dataValidation>
        <x14:dataValidation type="list" allowBlank="1" showErrorMessage="1" xr:uid="{BDCCAA9B-0F69-4EE5-A009-12F2C388DB0D}">
          <x14:formula1>
            <xm:f>Inventory!$A:$A</xm:f>
          </x14:formula1>
          <xm:sqref>A15:A24</xm:sqref>
        </x14:dataValidation>
        <x14:dataValidation type="list" allowBlank="1" showErrorMessage="1" xr:uid="{4485501D-D739-4C45-B972-2E17AB6FDCB6}">
          <x14:formula1>
            <xm:f>contacts!$A:$A</xm:f>
          </x14:formula1>
          <xm:sqref>A10:B10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32D1-EE98-4B51-A38B-1C1C9BFFE858}">
  <sheetPr codeName="Sheet8"/>
  <dimension ref="A2:O10"/>
  <sheetViews>
    <sheetView showZeros="0" workbookViewId="0"/>
  </sheetViews>
  <sheetFormatPr defaultRowHeight="12.5"/>
  <cols>
    <col min="13" max="15" width="10.453125" customWidth="1"/>
  </cols>
  <sheetData>
    <row r="2" spans="1:15" ht="23">
      <c r="A2" s="54" t="s">
        <v>64</v>
      </c>
    </row>
    <row r="3" spans="1:15">
      <c r="A3" t="s">
        <v>47</v>
      </c>
      <c r="B3" s="27">
        <f ca="1">TODAY()</f>
        <v>45662</v>
      </c>
    </row>
    <row r="9" spans="1:15">
      <c r="A9" s="55" t="s">
        <v>65</v>
      </c>
      <c r="B9" s="55" t="s">
        <v>66</v>
      </c>
      <c r="C9" s="55" t="s">
        <v>67</v>
      </c>
      <c r="D9" s="55" t="s">
        <v>68</v>
      </c>
      <c r="E9" s="55" t="s">
        <v>69</v>
      </c>
      <c r="F9" s="55" t="s">
        <v>70</v>
      </c>
      <c r="G9" s="55" t="s">
        <v>71</v>
      </c>
      <c r="H9" s="55" t="s">
        <v>72</v>
      </c>
      <c r="I9" s="55" t="s">
        <v>73</v>
      </c>
      <c r="J9" s="55" t="s">
        <v>74</v>
      </c>
      <c r="K9" s="55" t="s">
        <v>75</v>
      </c>
      <c r="L9" s="55" t="s">
        <v>76</v>
      </c>
      <c r="M9" s="55" t="s">
        <v>77</v>
      </c>
      <c r="N9" s="55" t="s">
        <v>78</v>
      </c>
      <c r="O9" s="55" t="s">
        <v>79</v>
      </c>
    </row>
    <row r="10" spans="1:1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</sheetData>
  <phoneticPr fontId="1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E29"/>
  <sheetViews>
    <sheetView showZeros="0" workbookViewId="0">
      <selection activeCell="D9" sqref="D9"/>
    </sheetView>
  </sheetViews>
  <sheetFormatPr defaultColWidth="12.6328125" defaultRowHeight="15.75" customHeight="1"/>
  <cols>
    <col min="1" max="5" width="12.6328125" customWidth="1"/>
  </cols>
  <sheetData>
    <row r="1" spans="1:5" ht="15.75" customHeight="1">
      <c r="A1" s="32" t="s">
        <v>8</v>
      </c>
      <c r="B1" s="31"/>
      <c r="C1" s="31"/>
      <c r="D1" s="31"/>
      <c r="E1" s="31"/>
    </row>
    <row r="2" spans="1:5" ht="15.75" customHeight="1">
      <c r="A2" s="30" t="s">
        <v>9</v>
      </c>
      <c r="B2" s="31"/>
      <c r="C2" s="31"/>
      <c r="D2" s="31"/>
      <c r="E2" s="31"/>
    </row>
    <row r="3" spans="1:5" ht="15.75" customHeight="1">
      <c r="A3" s="30" t="s">
        <v>10</v>
      </c>
      <c r="B3" s="31"/>
      <c r="C3" s="31"/>
      <c r="D3" s="31"/>
      <c r="E3" s="31"/>
    </row>
    <row r="4" spans="1:5" ht="15.75" customHeight="1">
      <c r="A4" s="30" t="s">
        <v>11</v>
      </c>
      <c r="B4" s="31"/>
      <c r="C4" s="31"/>
      <c r="D4" s="31"/>
      <c r="E4" s="31"/>
    </row>
    <row r="5" spans="1:5" ht="15.75" customHeight="1">
      <c r="A5" s="35" t="s">
        <v>28</v>
      </c>
      <c r="B5" s="31"/>
      <c r="C5" s="31"/>
      <c r="D5" s="31"/>
      <c r="E5" s="31"/>
    </row>
    <row r="6" spans="1:5" ht="15.75" customHeight="1">
      <c r="A6" s="2"/>
      <c r="B6" s="2"/>
      <c r="C6" s="2"/>
      <c r="D6" s="2"/>
      <c r="E6" s="2"/>
    </row>
    <row r="7" spans="1:5" ht="13">
      <c r="A7" s="34" t="s">
        <v>29</v>
      </c>
      <c r="B7" s="31"/>
      <c r="C7" s="2"/>
      <c r="D7" s="36" t="s">
        <v>15</v>
      </c>
      <c r="E7" s="31"/>
    </row>
    <row r="8" spans="1:5" ht="15.75" customHeight="1">
      <c r="A8" s="33" t="e">
        <f>InvoicesView_Print!A10</f>
        <v>#N/A</v>
      </c>
      <c r="B8" s="31"/>
      <c r="C8" s="2"/>
      <c r="D8" s="39">
        <f>InvoicesView_Print!P2</f>
        <v>0</v>
      </c>
      <c r="E8" s="31"/>
    </row>
    <row r="9" spans="1:5" ht="15.75" customHeight="1">
      <c r="A9" s="33" t="e">
        <f>InvoicesView_Print!A11</f>
        <v>#N/A</v>
      </c>
      <c r="B9" s="31"/>
      <c r="C9" s="2"/>
      <c r="D9" s="2"/>
      <c r="E9" s="2"/>
    </row>
    <row r="10" spans="1:5" ht="15.75" customHeight="1">
      <c r="A10" s="33" t="e">
        <f>InvoicesView_Print!A12</f>
        <v>#N/A</v>
      </c>
      <c r="B10" s="31"/>
      <c r="C10" s="2"/>
      <c r="D10" s="2"/>
      <c r="E10" s="2"/>
    </row>
    <row r="11" spans="1:5" ht="15.75" customHeight="1">
      <c r="A11" s="33" t="e">
        <v>#N/A</v>
      </c>
      <c r="B11" s="31"/>
      <c r="C11" s="31"/>
      <c r="D11" s="2" t="e">
        <f>InvoicesView_Print!D13</f>
        <v>#N/A</v>
      </c>
      <c r="E11" s="2"/>
    </row>
    <row r="12" spans="1:5" ht="13">
      <c r="A12" s="7" t="s">
        <v>16</v>
      </c>
      <c r="B12" s="7" t="s">
        <v>17</v>
      </c>
      <c r="C12" s="7" t="s">
        <v>18</v>
      </c>
      <c r="D12" s="7" t="s">
        <v>19</v>
      </c>
      <c r="E12" s="2"/>
    </row>
    <row r="13" spans="1:5" ht="15.75" customHeight="1">
      <c r="A13" s="8" t="e">
        <f>InvoicesView_Print!A15</f>
        <v>#N/A</v>
      </c>
      <c r="B13" s="8" t="e">
        <f>InvoicesView_Print!B15</f>
        <v>#N/A</v>
      </c>
      <c r="C13" s="9" t="e">
        <f>InvoicesView_Print!C15</f>
        <v>#N/A</v>
      </c>
      <c r="D13" s="9" t="e">
        <f t="shared" ref="D13:D22" si="0">B13*C13</f>
        <v>#N/A</v>
      </c>
      <c r="E13" s="2"/>
    </row>
    <row r="14" spans="1:5" ht="15.75" customHeight="1">
      <c r="A14" s="8" t="e">
        <f>InvoicesView_Print!A16</f>
        <v>#N/A</v>
      </c>
      <c r="B14" s="8" t="e">
        <f>InvoicesView_Print!B16</f>
        <v>#N/A</v>
      </c>
      <c r="C14" s="9" t="e">
        <f>InvoicesView_Print!C16</f>
        <v>#N/A</v>
      </c>
      <c r="D14" s="9" t="e">
        <f t="shared" si="0"/>
        <v>#N/A</v>
      </c>
      <c r="E14" s="2"/>
    </row>
    <row r="15" spans="1:5" ht="15.75" customHeight="1">
      <c r="A15" s="8" t="e">
        <f>InvoicesView_Print!A17</f>
        <v>#N/A</v>
      </c>
      <c r="B15" s="8" t="e">
        <f>InvoicesView_Print!B17</f>
        <v>#N/A</v>
      </c>
      <c r="C15" s="9" t="e">
        <f>InvoicesView_Print!C17</f>
        <v>#N/A</v>
      </c>
      <c r="D15" s="9" t="e">
        <f t="shared" si="0"/>
        <v>#N/A</v>
      </c>
      <c r="E15" s="2"/>
    </row>
    <row r="16" spans="1:5" ht="15.75" customHeight="1">
      <c r="A16" s="8" t="e">
        <f>InvoicesView_Print!A18</f>
        <v>#N/A</v>
      </c>
      <c r="B16" s="8" t="e">
        <f>InvoicesView_Print!B18</f>
        <v>#N/A</v>
      </c>
      <c r="C16" s="9" t="e">
        <f>InvoicesView_Print!C18</f>
        <v>#N/A</v>
      </c>
      <c r="D16" s="9" t="e">
        <f t="shared" si="0"/>
        <v>#N/A</v>
      </c>
      <c r="E16" s="2"/>
    </row>
    <row r="17" spans="1:5" ht="15.75" customHeight="1">
      <c r="A17" s="8" t="e">
        <f>InvoicesView_Print!A19</f>
        <v>#N/A</v>
      </c>
      <c r="B17" s="8" t="e">
        <f>InvoicesView_Print!B19</f>
        <v>#N/A</v>
      </c>
      <c r="C17" s="9" t="e">
        <f>InvoicesView_Print!C19</f>
        <v>#N/A</v>
      </c>
      <c r="D17" s="9" t="e">
        <f t="shared" si="0"/>
        <v>#N/A</v>
      </c>
      <c r="E17" s="2"/>
    </row>
    <row r="18" spans="1:5" ht="15.75" customHeight="1">
      <c r="A18" s="8" t="e">
        <f>InvoicesView_Print!A20</f>
        <v>#N/A</v>
      </c>
      <c r="B18" s="8" t="e">
        <f>InvoicesView_Print!B20</f>
        <v>#N/A</v>
      </c>
      <c r="C18" s="9" t="e">
        <f>InvoicesView_Print!C20</f>
        <v>#N/A</v>
      </c>
      <c r="D18" s="9" t="e">
        <f t="shared" si="0"/>
        <v>#N/A</v>
      </c>
      <c r="E18" s="2"/>
    </row>
    <row r="19" spans="1:5" ht="15.75" customHeight="1">
      <c r="A19" s="8" t="e">
        <f>InvoicesView_Print!A21</f>
        <v>#N/A</v>
      </c>
      <c r="B19" s="8" t="e">
        <f>InvoicesView_Print!B21</f>
        <v>#N/A</v>
      </c>
      <c r="C19" s="9" t="e">
        <f>InvoicesView_Print!C21</f>
        <v>#N/A</v>
      </c>
      <c r="D19" s="9" t="e">
        <f t="shared" si="0"/>
        <v>#N/A</v>
      </c>
      <c r="E19" s="2"/>
    </row>
    <row r="20" spans="1:5" ht="15.75" customHeight="1">
      <c r="A20" s="8" t="e">
        <f>InvoicesView_Print!A22</f>
        <v>#N/A</v>
      </c>
      <c r="B20" s="8" t="e">
        <f>InvoicesView_Print!B22</f>
        <v>#N/A</v>
      </c>
      <c r="C20" s="9" t="e">
        <f>InvoicesView_Print!C22</f>
        <v>#N/A</v>
      </c>
      <c r="D20" s="9" t="e">
        <f t="shared" si="0"/>
        <v>#N/A</v>
      </c>
      <c r="E20" s="2"/>
    </row>
    <row r="21" spans="1:5" ht="15.75" customHeight="1">
      <c r="A21" s="8" t="e">
        <f>InvoicesView_Print!A23</f>
        <v>#N/A</v>
      </c>
      <c r="B21" s="8" t="e">
        <f>InvoicesView_Print!B23</f>
        <v>#N/A</v>
      </c>
      <c r="C21" s="9" t="e">
        <f>InvoicesView_Print!C23</f>
        <v>#N/A</v>
      </c>
      <c r="D21" s="9" t="e">
        <f t="shared" si="0"/>
        <v>#N/A</v>
      </c>
      <c r="E21" s="2"/>
    </row>
    <row r="22" spans="1:5" ht="15.75" customHeight="1">
      <c r="A22" s="8" t="e">
        <f>InvoicesView_Print!A24</f>
        <v>#N/A</v>
      </c>
      <c r="B22" s="8" t="e">
        <f>InvoicesView_Print!B24</f>
        <v>#N/A</v>
      </c>
      <c r="C22" s="9" t="e">
        <f>InvoicesView_Print!C24</f>
        <v>#N/A</v>
      </c>
      <c r="D22" s="9" t="e">
        <f t="shared" si="0"/>
        <v>#N/A</v>
      </c>
      <c r="E22" s="2"/>
    </row>
    <row r="23" spans="1:5" ht="15.75" customHeight="1">
      <c r="A23" s="2"/>
      <c r="B23" s="2"/>
      <c r="C23" s="2"/>
      <c r="D23" s="2"/>
      <c r="E23" s="2"/>
    </row>
    <row r="24" spans="1:5" ht="13">
      <c r="A24" s="2"/>
      <c r="B24" s="2"/>
      <c r="C24" s="3" t="s">
        <v>20</v>
      </c>
      <c r="D24" s="10" t="e">
        <f>SUM(D13:D22)</f>
        <v>#N/A</v>
      </c>
      <c r="E24" s="2"/>
    </row>
    <row r="25" spans="1:5" ht="13">
      <c r="A25" s="2"/>
      <c r="B25" s="2"/>
      <c r="C25" s="3" t="s">
        <v>21</v>
      </c>
      <c r="D25" s="10" t="e">
        <f>D24*0.1</f>
        <v>#N/A</v>
      </c>
      <c r="E25" s="2"/>
    </row>
    <row r="26" spans="1:5" ht="13">
      <c r="A26" s="2"/>
      <c r="B26" s="2"/>
      <c r="C26" s="3" t="s">
        <v>22</v>
      </c>
      <c r="D26" s="10" t="e">
        <f>D24+D25</f>
        <v>#N/A</v>
      </c>
      <c r="E26" s="2"/>
    </row>
    <row r="27" spans="1:5" ht="15.75" customHeight="1">
      <c r="A27" s="2"/>
      <c r="B27" s="2"/>
      <c r="C27" s="2"/>
      <c r="D27" s="2"/>
      <c r="E27" s="2"/>
    </row>
    <row r="28" spans="1:5" ht="13">
      <c r="A28" s="34" t="s">
        <v>30</v>
      </c>
      <c r="B28" s="31"/>
      <c r="C28" s="31"/>
      <c r="D28" s="31"/>
      <c r="E28" s="31"/>
    </row>
    <row r="29" spans="1:5" ht="15.75" customHeight="1">
      <c r="A29" s="2"/>
      <c r="B29" s="2"/>
      <c r="C29" s="2"/>
      <c r="D29" s="2"/>
      <c r="E29" s="2"/>
    </row>
  </sheetData>
  <mergeCells count="13">
    <mergeCell ref="A28:E28"/>
    <mergeCell ref="A1:E1"/>
    <mergeCell ref="A2:E2"/>
    <mergeCell ref="A3:E3"/>
    <mergeCell ref="A4:E4"/>
    <mergeCell ref="A5:E5"/>
    <mergeCell ref="A7:B7"/>
    <mergeCell ref="A8:B8"/>
    <mergeCell ref="D7:E7"/>
    <mergeCell ref="D8:E8"/>
    <mergeCell ref="A9:B9"/>
    <mergeCell ref="A10:B10"/>
    <mergeCell ref="A11:C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outlinePr summaryBelow="0" summaryRight="0"/>
  </sheetPr>
  <dimension ref="A1:E28"/>
  <sheetViews>
    <sheetView showZeros="0" workbookViewId="0">
      <selection activeCell="D9" sqref="D9"/>
    </sheetView>
  </sheetViews>
  <sheetFormatPr defaultColWidth="12.6328125" defaultRowHeight="15.75" customHeight="1"/>
  <sheetData>
    <row r="1" spans="1:5" ht="15.75" customHeight="1">
      <c r="A1" s="41" t="s">
        <v>8</v>
      </c>
      <c r="B1" s="31"/>
      <c r="C1" s="31"/>
      <c r="D1" s="31"/>
      <c r="E1" s="31"/>
    </row>
    <row r="2" spans="1:5" ht="15.75" customHeight="1">
      <c r="A2" s="42" t="s">
        <v>9</v>
      </c>
      <c r="B2" s="31"/>
      <c r="C2" s="31"/>
      <c r="D2" s="31"/>
      <c r="E2" s="31"/>
    </row>
    <row r="3" spans="1:5" ht="15.75" customHeight="1">
      <c r="A3" s="42" t="s">
        <v>10</v>
      </c>
      <c r="B3" s="31"/>
      <c r="C3" s="31"/>
      <c r="D3" s="31"/>
      <c r="E3" s="31"/>
    </row>
    <row r="4" spans="1:5" ht="15.75" customHeight="1">
      <c r="A4" s="42" t="s">
        <v>11</v>
      </c>
      <c r="B4" s="31"/>
      <c r="C4" s="31"/>
      <c r="D4" s="31"/>
      <c r="E4" s="31"/>
    </row>
    <row r="5" spans="1:5" ht="15.75" customHeight="1">
      <c r="A5" s="43" t="s">
        <v>31</v>
      </c>
      <c r="B5" s="31"/>
      <c r="C5" s="31"/>
      <c r="D5" s="31"/>
      <c r="E5" s="31"/>
    </row>
    <row r="6" spans="1:5" ht="15.75" customHeight="1">
      <c r="A6" s="16"/>
      <c r="B6" s="16"/>
      <c r="C6" s="16"/>
      <c r="D6" s="16"/>
      <c r="E6" s="16"/>
    </row>
    <row r="7" spans="1:5" ht="13">
      <c r="A7" s="40" t="s">
        <v>32</v>
      </c>
      <c r="B7" s="31"/>
      <c r="C7" s="16"/>
      <c r="D7" s="44" t="s">
        <v>15</v>
      </c>
      <c r="E7" s="31"/>
    </row>
    <row r="8" spans="1:5" ht="15.75" customHeight="1">
      <c r="A8" s="33" t="e">
        <f>InvoicesView_Print!A10</f>
        <v>#N/A</v>
      </c>
      <c r="B8" s="31"/>
      <c r="C8" s="2"/>
      <c r="D8" s="45" t="s">
        <v>33</v>
      </c>
      <c r="E8" s="31"/>
    </row>
    <row r="9" spans="1:5" ht="15.75" customHeight="1">
      <c r="A9" s="33" t="e">
        <f>InvoicesView_Print!A11</f>
        <v>#N/A</v>
      </c>
      <c r="B9" s="31"/>
      <c r="C9" s="2"/>
      <c r="D9" s="16"/>
      <c r="E9" s="16"/>
    </row>
    <row r="10" spans="1:5" ht="15.75" customHeight="1">
      <c r="A10" s="33" t="e">
        <f>InvoicesView_Print!A12</f>
        <v>#N/A</v>
      </c>
      <c r="B10" s="31"/>
      <c r="C10" s="2"/>
      <c r="D10" s="16"/>
      <c r="E10" s="16"/>
    </row>
    <row r="11" spans="1:5" ht="15.75" customHeight="1">
      <c r="A11" s="33" t="e">
        <f>InvoicesView_Print!A13</f>
        <v>#N/A</v>
      </c>
      <c r="B11" s="31"/>
      <c r="C11" s="31"/>
      <c r="D11" s="18" t="e">
        <f>HYPERLINK(VLOOKUP(B1,#REF!, 16, FALSE))</f>
        <v>#REF!</v>
      </c>
      <c r="E11" s="16"/>
    </row>
    <row r="12" spans="1:5" ht="13">
      <c r="A12" s="19" t="s">
        <v>16</v>
      </c>
      <c r="B12" s="20" t="s">
        <v>17</v>
      </c>
      <c r="C12" s="20" t="s">
        <v>18</v>
      </c>
      <c r="D12" s="20" t="s">
        <v>19</v>
      </c>
      <c r="E12" s="16"/>
    </row>
    <row r="13" spans="1:5" ht="15.75" customHeight="1">
      <c r="A13" s="8" t="e">
        <f>InvoicesView_Print!A15</f>
        <v>#N/A</v>
      </c>
      <c r="B13" s="8" t="e">
        <f>InvoicesView_Print!B15</f>
        <v>#N/A</v>
      </c>
      <c r="C13" s="9" t="e">
        <f>InvoicesView_Print!C15</f>
        <v>#N/A</v>
      </c>
      <c r="D13" s="21" t="e">
        <f t="shared" ref="D13:D22" si="0">B13*C13</f>
        <v>#N/A</v>
      </c>
      <c r="E13" s="16"/>
    </row>
    <row r="14" spans="1:5" ht="15.75" customHeight="1">
      <c r="A14" s="8" t="e">
        <f>InvoicesView_Print!A16</f>
        <v>#N/A</v>
      </c>
      <c r="B14" s="8" t="e">
        <f>InvoicesView_Print!B16</f>
        <v>#N/A</v>
      </c>
      <c r="C14" s="9" t="e">
        <f>InvoicesView_Print!C16</f>
        <v>#N/A</v>
      </c>
      <c r="D14" s="21" t="e">
        <f t="shared" si="0"/>
        <v>#N/A</v>
      </c>
      <c r="E14" s="16"/>
    </row>
    <row r="15" spans="1:5" ht="15.75" customHeight="1">
      <c r="A15" s="8" t="e">
        <f>InvoicesView_Print!A17</f>
        <v>#N/A</v>
      </c>
      <c r="B15" s="8" t="e">
        <f>InvoicesView_Print!B17</f>
        <v>#N/A</v>
      </c>
      <c r="C15" s="9" t="e">
        <f>InvoicesView_Print!C17</f>
        <v>#N/A</v>
      </c>
      <c r="D15" s="21" t="e">
        <f t="shared" si="0"/>
        <v>#N/A</v>
      </c>
      <c r="E15" s="16"/>
    </row>
    <row r="16" spans="1:5" ht="15.75" customHeight="1">
      <c r="A16" s="8" t="e">
        <f>InvoicesView_Print!A18</f>
        <v>#N/A</v>
      </c>
      <c r="B16" s="8" t="e">
        <f>InvoicesView_Print!B18</f>
        <v>#N/A</v>
      </c>
      <c r="C16" s="9" t="e">
        <f>InvoicesView_Print!C18</f>
        <v>#N/A</v>
      </c>
      <c r="D16" s="21" t="e">
        <f t="shared" si="0"/>
        <v>#N/A</v>
      </c>
      <c r="E16" s="16"/>
    </row>
    <row r="17" spans="1:5" ht="15.75" customHeight="1">
      <c r="A17" s="8" t="e">
        <f>InvoicesView_Print!A19</f>
        <v>#N/A</v>
      </c>
      <c r="B17" s="8" t="e">
        <f>InvoicesView_Print!B19</f>
        <v>#N/A</v>
      </c>
      <c r="C17" s="9" t="e">
        <f>InvoicesView_Print!C19</f>
        <v>#N/A</v>
      </c>
      <c r="D17" s="21" t="e">
        <f t="shared" si="0"/>
        <v>#N/A</v>
      </c>
      <c r="E17" s="16"/>
    </row>
    <row r="18" spans="1:5" ht="15.75" customHeight="1">
      <c r="A18" s="8" t="e">
        <f>InvoicesView_Print!A20</f>
        <v>#N/A</v>
      </c>
      <c r="B18" s="8" t="e">
        <f>InvoicesView_Print!B20</f>
        <v>#N/A</v>
      </c>
      <c r="C18" s="9" t="e">
        <f>InvoicesView_Print!C20</f>
        <v>#N/A</v>
      </c>
      <c r="D18" s="21" t="e">
        <f t="shared" si="0"/>
        <v>#N/A</v>
      </c>
      <c r="E18" s="16"/>
    </row>
    <row r="19" spans="1:5" ht="15.75" customHeight="1">
      <c r="A19" s="8" t="e">
        <f>InvoicesView_Print!A21</f>
        <v>#N/A</v>
      </c>
      <c r="B19" s="8" t="e">
        <f>InvoicesView_Print!B21</f>
        <v>#N/A</v>
      </c>
      <c r="C19" s="9" t="e">
        <f>InvoicesView_Print!C21</f>
        <v>#N/A</v>
      </c>
      <c r="D19" s="21" t="e">
        <f t="shared" si="0"/>
        <v>#N/A</v>
      </c>
      <c r="E19" s="16"/>
    </row>
    <row r="20" spans="1:5" ht="15.75" customHeight="1">
      <c r="A20" s="8" t="e">
        <f>InvoicesView_Print!A22</f>
        <v>#N/A</v>
      </c>
      <c r="B20" s="8" t="e">
        <f>InvoicesView_Print!B22</f>
        <v>#N/A</v>
      </c>
      <c r="C20" s="9" t="e">
        <f>InvoicesView_Print!C22</f>
        <v>#N/A</v>
      </c>
      <c r="D20" s="21" t="e">
        <f t="shared" si="0"/>
        <v>#N/A</v>
      </c>
      <c r="E20" s="16"/>
    </row>
    <row r="21" spans="1:5" ht="15.75" customHeight="1">
      <c r="A21" s="8" t="e">
        <f>InvoicesView_Print!A23</f>
        <v>#N/A</v>
      </c>
      <c r="B21" s="8" t="e">
        <f>InvoicesView_Print!B23</f>
        <v>#N/A</v>
      </c>
      <c r="C21" s="9" t="e">
        <f>InvoicesView_Print!C23</f>
        <v>#N/A</v>
      </c>
      <c r="D21" s="21" t="e">
        <f t="shared" si="0"/>
        <v>#N/A</v>
      </c>
      <c r="E21" s="16"/>
    </row>
    <row r="22" spans="1:5" ht="15.75" customHeight="1">
      <c r="A22" s="8" t="e">
        <f>InvoicesView_Print!A24</f>
        <v>#N/A</v>
      </c>
      <c r="B22" s="8" t="e">
        <f>InvoicesView_Print!B24</f>
        <v>#N/A</v>
      </c>
      <c r="C22" s="9" t="e">
        <f>InvoicesView_Print!C24</f>
        <v>#N/A</v>
      </c>
      <c r="D22" s="21" t="e">
        <f t="shared" si="0"/>
        <v>#N/A</v>
      </c>
      <c r="E22" s="16"/>
    </row>
    <row r="23" spans="1:5" ht="15.75" customHeight="1">
      <c r="A23" s="16"/>
      <c r="B23" s="16"/>
      <c r="C23" s="16"/>
      <c r="D23" s="16"/>
      <c r="E23" s="16"/>
    </row>
    <row r="24" spans="1:5" ht="13">
      <c r="A24" s="16"/>
      <c r="B24" s="16"/>
      <c r="C24" s="17" t="s">
        <v>20</v>
      </c>
      <c r="D24" s="22" t="e">
        <f>SUM(D13:D22)</f>
        <v>#N/A</v>
      </c>
      <c r="E24" s="16"/>
    </row>
    <row r="25" spans="1:5" ht="13">
      <c r="A25" s="16"/>
      <c r="B25" s="16"/>
      <c r="C25" s="17" t="s">
        <v>21</v>
      </c>
      <c r="D25" s="22" t="e">
        <f>D24*0.1</f>
        <v>#N/A</v>
      </c>
      <c r="E25" s="16"/>
    </row>
    <row r="26" spans="1:5" ht="13">
      <c r="A26" s="16"/>
      <c r="B26" s="16"/>
      <c r="C26" s="17" t="s">
        <v>22</v>
      </c>
      <c r="D26" s="22" t="e">
        <f>D24+D25</f>
        <v>#N/A</v>
      </c>
      <c r="E26" s="16"/>
    </row>
    <row r="27" spans="1:5" ht="15.75" customHeight="1">
      <c r="A27" s="16"/>
      <c r="B27" s="16"/>
      <c r="C27" s="16"/>
      <c r="D27" s="16"/>
      <c r="E27" s="16"/>
    </row>
    <row r="28" spans="1:5" ht="13">
      <c r="A28" s="40" t="s">
        <v>30</v>
      </c>
      <c r="B28" s="31"/>
      <c r="C28" s="31"/>
      <c r="D28" s="31"/>
      <c r="E28" s="31"/>
    </row>
  </sheetData>
  <mergeCells count="13">
    <mergeCell ref="A28:E28"/>
    <mergeCell ref="A1:E1"/>
    <mergeCell ref="A2:E2"/>
    <mergeCell ref="A3:E3"/>
    <mergeCell ref="A4:E4"/>
    <mergeCell ref="A5:E5"/>
    <mergeCell ref="A7:B7"/>
    <mergeCell ref="A8:B8"/>
    <mergeCell ref="D7:E7"/>
    <mergeCell ref="D8:E8"/>
    <mergeCell ref="A9:B9"/>
    <mergeCell ref="A10:B10"/>
    <mergeCell ref="A11:C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A52C7-5E5C-4BDB-93B5-6E92B4918102}">
  <sheetPr codeName="Sheet9"/>
  <dimension ref="A1:P1"/>
  <sheetViews>
    <sheetView showZeros="0" workbookViewId="0"/>
  </sheetViews>
  <sheetFormatPr defaultRowHeight="12.5"/>
  <cols>
    <col min="1" max="1" width="8.7265625" style="56"/>
    <col min="5" max="16" width="8.7265625" style="56"/>
  </cols>
  <sheetData>
    <row r="1" spans="1:16">
      <c r="A1" s="57"/>
      <c r="B1" s="58" t="str">
        <f>InvoicesView_Print!M1</f>
        <v>Update 1</v>
      </c>
      <c r="C1" s="58" t="str">
        <f>InvoicesView_Print!N1</f>
        <v>Update 2</v>
      </c>
      <c r="D1" s="58" t="str">
        <f>InvoicesView_Print!O1</f>
        <v>Update 3</v>
      </c>
      <c r="E1" s="59" t="str">
        <f>InvoicesInput!A1</f>
        <v>Log 1</v>
      </c>
      <c r="F1" s="59" t="str">
        <f>InvoicesInput!B1</f>
        <v>Log 2</v>
      </c>
      <c r="G1" s="59" t="str">
        <f>InvoicesInput!C1</f>
        <v>Log 3</v>
      </c>
      <c r="H1" s="59" t="str">
        <f>InvoicesInput!D1</f>
        <v>Log 4</v>
      </c>
      <c r="I1" s="59" t="str">
        <f>InvoicesInput!E1</f>
        <v>Log 5</v>
      </c>
      <c r="J1" s="59" t="str">
        <f>InvoicesInput!F1</f>
        <v>Log 6</v>
      </c>
      <c r="K1" s="59" t="str">
        <f>InvoicesInput!G1</f>
        <v>Log 7</v>
      </c>
      <c r="L1" s="59" t="str">
        <f>InvoicesInput!H1</f>
        <v>Log 8</v>
      </c>
      <c r="M1" s="59" t="str">
        <f>InvoicesInput!I1</f>
        <v>Log 9</v>
      </c>
      <c r="N1" s="59" t="str">
        <f>InvoicesInput!J1</f>
        <v>Log 10</v>
      </c>
      <c r="O1" s="59" t="str">
        <f>InvoicesInput!K1</f>
        <v>Log 11</v>
      </c>
      <c r="P1" s="60" t="str">
        <f>InvoicesInput!L1</f>
        <v>Log 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ED40E-FBB3-436C-941D-83F6CFD81129}">
  <sheetPr codeName="Sheet10"/>
  <dimension ref="S1:AB1"/>
  <sheetViews>
    <sheetView showZeros="0" workbookViewId="0"/>
  </sheetViews>
  <sheetFormatPr defaultRowHeight="12.5"/>
  <sheetData>
    <row r="1" spans="19:28">
      <c r="S1" t="str">
        <f>InvoicesInput!A1</f>
        <v>Log 1</v>
      </c>
      <c r="T1" t="str">
        <f>InvoicesInput!B1</f>
        <v>Log 2</v>
      </c>
      <c r="U1" t="str">
        <f>InvoicesInput!C1</f>
        <v>Log 3</v>
      </c>
      <c r="V1" t="str">
        <f>InvoicesInput!D1</f>
        <v>Log 4</v>
      </c>
      <c r="W1" t="str">
        <f>InvoicesInput!E1</f>
        <v>Log 5</v>
      </c>
      <c r="X1" t="str">
        <f>InvoicesInput!F1</f>
        <v>Log 6</v>
      </c>
      <c r="Y1" t="str">
        <f>InvoicesInput!G1</f>
        <v>Log 7</v>
      </c>
      <c r="Z1" t="str">
        <f>InvoicesInput!H1</f>
        <v>Log 8</v>
      </c>
      <c r="AA1" t="str">
        <f>InvoicesInput!I1</f>
        <v>Log 9</v>
      </c>
      <c r="AB1" t="str">
        <f>InvoicesInput!J1</f>
        <v>Log 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66537-AB50-4790-8BA9-6B404CA89A3E}">
  <sheetPr codeName="Sheet11"/>
  <dimension ref="A1:BQ3"/>
  <sheetViews>
    <sheetView showZeros="0" workbookViewId="0">
      <selection activeCell="A6" sqref="A6"/>
    </sheetView>
  </sheetViews>
  <sheetFormatPr defaultRowHeight="12.5"/>
  <sheetData>
    <row r="1" spans="1:69">
      <c r="A1" t="str">
        <f>B1 &amp; " " &amp; C1 &amp; " " &amp; D1</f>
        <v>First Name Middle Name Last Name</v>
      </c>
      <c r="B1" s="61" t="s">
        <v>48</v>
      </c>
      <c r="C1" t="s">
        <v>80</v>
      </c>
      <c r="D1" t="s">
        <v>81</v>
      </c>
      <c r="E1" t="s">
        <v>82</v>
      </c>
      <c r="P1" t="s">
        <v>83</v>
      </c>
      <c r="T1" t="s">
        <v>49</v>
      </c>
      <c r="V1" t="s">
        <v>50</v>
      </c>
      <c r="Z1" t="s">
        <v>84</v>
      </c>
      <c r="AD1" t="s">
        <v>85</v>
      </c>
      <c r="AE1" t="s">
        <v>86</v>
      </c>
      <c r="AF1" t="s">
        <v>87</v>
      </c>
      <c r="AN1" t="s">
        <v>51</v>
      </c>
      <c r="AP1" t="s">
        <v>52</v>
      </c>
      <c r="AR1" t="s">
        <v>53</v>
      </c>
      <c r="AZ1" t="s">
        <v>88</v>
      </c>
      <c r="BD1" t="s">
        <v>89</v>
      </c>
      <c r="BE1" t="s">
        <v>90</v>
      </c>
      <c r="BF1" t="s">
        <v>91</v>
      </c>
      <c r="BK1" t="s">
        <v>92</v>
      </c>
      <c r="BO1" t="s">
        <v>93</v>
      </c>
      <c r="BP1" t="s">
        <v>94</v>
      </c>
      <c r="BQ1" t="s">
        <v>95</v>
      </c>
    </row>
    <row r="2" spans="1:69">
      <c r="B2" s="61"/>
    </row>
    <row r="3" spans="1:69">
      <c r="B3" s="61"/>
    </row>
  </sheetData>
  <autoFilter ref="A1:BQ1" xr:uid="{1CF66537-AB50-4790-8BA9-6B404CA89A3E}"/>
  <sortState xmlns:xlrd2="http://schemas.microsoft.com/office/spreadsheetml/2017/richdata2" ref="A2:BQ3">
    <sortCondition ref="A1:A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8709-ABE6-491A-85DC-EF97FD984AFF}">
  <sheetPr codeName="Sheet12"/>
  <dimension ref="A1:J14"/>
  <sheetViews>
    <sheetView showGridLines="0" showZeros="0" workbookViewId="0">
      <selection activeCell="B1" sqref="B1:D1"/>
    </sheetView>
  </sheetViews>
  <sheetFormatPr defaultRowHeight="13"/>
  <cols>
    <col min="1" max="1" width="21.6328125" customWidth="1"/>
    <col min="2" max="2" width="32.6328125" customWidth="1"/>
    <col min="5" max="5" width="21.6328125" style="63" customWidth="1"/>
    <col min="6" max="6" width="32.6328125" customWidth="1"/>
  </cols>
  <sheetData>
    <row r="1" spans="1:10">
      <c r="A1" s="63" t="str">
        <f>contacts!A1</f>
        <v>First Name Middle Name Last Name</v>
      </c>
      <c r="B1" s="62" t="s">
        <v>98</v>
      </c>
      <c r="C1" s="62"/>
      <c r="D1" s="62"/>
      <c r="E1" s="64" t="s">
        <v>96</v>
      </c>
      <c r="F1" s="61"/>
      <c r="H1" s="68"/>
      <c r="I1" s="68"/>
      <c r="J1" s="68"/>
    </row>
    <row r="2" spans="1:10">
      <c r="A2" s="63" t="str">
        <f>contacts!AR1</f>
        <v>Company</v>
      </c>
      <c r="B2" t="str">
        <f>VLOOKUP(B1,contacts!A:CJ,44,FALSE)</f>
        <v>Company</v>
      </c>
      <c r="E2" s="63" t="str">
        <f>contacts!AR1</f>
        <v>Company</v>
      </c>
    </row>
    <row r="3" spans="1:10">
      <c r="A3" s="63" t="str">
        <f>contacts!AZ1</f>
        <v>Business Street</v>
      </c>
      <c r="B3" t="str">
        <f>VLOOKUP(B1,contacts!A:CJ,52,FALSE)</f>
        <v>Business Street</v>
      </c>
      <c r="E3" s="63" t="str">
        <f>contacts!AZ1</f>
        <v>Business Street</v>
      </c>
    </row>
    <row r="4" spans="1:10">
      <c r="A4" s="63" t="str">
        <f>contacts!BD1</f>
        <v>Business City</v>
      </c>
      <c r="B4" t="str">
        <f>VLOOKUP(B1,contacts!A:CJ,56,FALSE) &amp; "," &amp; VLOOKUP(B1,contacts!A:CJ,57,FALSE) &amp; "   " &amp; VLOOKUP(B1,contacts!A:CJ,58,FALSE)</f>
        <v>Business City,Business State   Business Postal Code</v>
      </c>
      <c r="E4" s="63" t="str">
        <f>contacts!BD1</f>
        <v>Business City</v>
      </c>
    </row>
    <row r="5" spans="1:10">
      <c r="A5" s="63" t="str">
        <f>contacts!P1</f>
        <v>E-mail Address</v>
      </c>
      <c r="B5" s="65" t="str">
        <f>HYPERLINK(VLOOKUP(B1,contacts!A:CJ,16,FALSE))</f>
        <v>E-mail Address</v>
      </c>
      <c r="E5" s="63" t="str">
        <f>contacts!P1</f>
        <v>E-mail Address</v>
      </c>
      <c r="F5" s="65"/>
    </row>
    <row r="6" spans="1:10">
      <c r="A6" s="63" t="str">
        <f>contacts!AN1</f>
        <v>Business Phone</v>
      </c>
      <c r="B6" t="str">
        <f>VLOOKUP(B1,contacts!A:CJ,40,FALSE)</f>
        <v>Business Phone</v>
      </c>
      <c r="E6" s="63" t="str">
        <f>contacts!AN1</f>
        <v>Business Phone</v>
      </c>
    </row>
    <row r="7" spans="1:10">
      <c r="A7" s="63" t="str">
        <f>contacts!AP1</f>
        <v>Business Fax</v>
      </c>
      <c r="B7" t="str">
        <f>VLOOKUP(B1,contacts!A:CJ,42,FALSE)</f>
        <v>Business Fax</v>
      </c>
      <c r="E7" s="63" t="str">
        <f>contacts!AP1</f>
        <v>Business Fax</v>
      </c>
    </row>
    <row r="8" spans="1:10">
      <c r="A8" s="63" t="str">
        <f>contacts!Z1</f>
        <v>Home Street</v>
      </c>
      <c r="B8" t="str">
        <f>VLOOKUP(B1,contacts!A:CJ,26,FALSE)</f>
        <v>Home Street</v>
      </c>
      <c r="E8" s="63" t="str">
        <f>contacts!Z1</f>
        <v>Home Street</v>
      </c>
    </row>
    <row r="9" spans="1:10">
      <c r="A9" s="63" t="str">
        <f>contacts!AD1</f>
        <v>Home City</v>
      </c>
      <c r="B9" t="str">
        <f>VLOOKUP(B1,contacts!A:CJ,30,FALSE) &amp; "," &amp; VLOOKUP(B1,contacts!A:CJ,31,FALSE) &amp; "   " &amp; VLOOKUP(B1,contacts!A:CJ,32,FALSE)</f>
        <v>Home City,Home State   Home Postal Code</v>
      </c>
      <c r="E9" s="63" t="str">
        <f>contacts!AD1</f>
        <v>Home City</v>
      </c>
    </row>
    <row r="10" spans="1:10">
      <c r="A10" s="63" t="str">
        <f>contacts!BK1</f>
        <v>Other Street</v>
      </c>
      <c r="B10" t="str">
        <f>VLOOKUP(B1,contacts!A:CJ,63,FALSE)</f>
        <v>Other Street</v>
      </c>
      <c r="E10" s="63" t="str">
        <f>contacts!BK1</f>
        <v>Other Street</v>
      </c>
    </row>
    <row r="11" spans="1:10">
      <c r="A11" s="63" t="str">
        <f>contacts!BO1</f>
        <v>Other City</v>
      </c>
      <c r="B11" t="str">
        <f>VLOOKUP(B1,contacts!A:CJ,67,FALSE) &amp; "," &amp; VLOOKUP(B1,contacts!A:CJ,68,FALSE) &amp; "   " &amp; VLOOKUP(B1,contacts!A:CJ,69,FALSE)</f>
        <v>Other City,Other State   Other Postal Code</v>
      </c>
      <c r="E11" s="63" t="str">
        <f>contacts!BO1</f>
        <v>Other City</v>
      </c>
    </row>
    <row r="12" spans="1:10">
      <c r="A12" s="63" t="str">
        <f>contacts!E1</f>
        <v>Title</v>
      </c>
      <c r="B12" t="str">
        <f>VLOOKUP(B1,contacts!A:CJ,5,FALSE)</f>
        <v>Title</v>
      </c>
      <c r="E12" s="63" t="str">
        <f>contacts!E1</f>
        <v>Title</v>
      </c>
    </row>
    <row r="13" spans="1:10">
      <c r="A13" s="63" t="str">
        <f>contacts!T1</f>
        <v>Home Phone</v>
      </c>
      <c r="B13" t="str">
        <f>VLOOKUP(B1,contacts!A:CJ,20,FALSE)</f>
        <v>Home Phone</v>
      </c>
      <c r="E13" s="63" t="str">
        <f>contacts!T1</f>
        <v>Home Phone</v>
      </c>
    </row>
    <row r="14" spans="1:10">
      <c r="A14" s="63" t="str">
        <f>contacts!V1</f>
        <v>Mobile Phone</v>
      </c>
      <c r="B14" t="str">
        <f>VLOOKUP(B1,contacts!A:CJ,22,FALSE)</f>
        <v>Mobile Phone</v>
      </c>
      <c r="E14" s="63" t="str">
        <f>contacts!V1</f>
        <v>Mobile Phone</v>
      </c>
    </row>
  </sheetData>
  <mergeCells count="2">
    <mergeCell ref="B1:D1"/>
    <mergeCell ref="H1:J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E73251-CF29-4658-9A92-5F84FBF22E56}">
          <x14:formula1>
            <xm:f>contacts!A:A</xm:f>
          </x14:formula1>
          <xm:sqref>B1:D1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3C3D-4F13-4F78-8942-8D4D25E2E1E3}">
  <sheetPr codeName="Sheet13"/>
  <dimension ref="A1:B22"/>
  <sheetViews>
    <sheetView showZeros="0" workbookViewId="0">
      <selection activeCell="B1" sqref="B1"/>
    </sheetView>
  </sheetViews>
  <sheetFormatPr defaultRowHeight="13"/>
  <cols>
    <col min="1" max="1" width="21.6328125" style="63" customWidth="1"/>
    <col min="2" max="2" width="32.6328125" customWidth="1"/>
  </cols>
  <sheetData>
    <row r="1" spans="1:2">
      <c r="A1" s="63" t="str">
        <f>contacts!B1</f>
        <v>First Name</v>
      </c>
      <c r="B1" s="66"/>
    </row>
    <row r="2" spans="1:2">
      <c r="A2" s="63" t="str">
        <f>contacts!C1</f>
        <v>Middle Name</v>
      </c>
      <c r="B2" s="66"/>
    </row>
    <row r="3" spans="1:2">
      <c r="A3" s="63" t="str">
        <f>contacts!D1</f>
        <v>Last Name</v>
      </c>
      <c r="B3" s="66"/>
    </row>
    <row r="4" spans="1:2">
      <c r="A4" s="63" t="str">
        <f>contacts!AR1</f>
        <v>Company</v>
      </c>
      <c r="B4" s="66"/>
    </row>
    <row r="5" spans="1:2">
      <c r="A5" s="63" t="str">
        <f>contacts!AZ1</f>
        <v>Business Street</v>
      </c>
      <c r="B5" s="66"/>
    </row>
    <row r="6" spans="1:2">
      <c r="A6" s="63" t="str">
        <f>contacts!BD1</f>
        <v>Business City</v>
      </c>
      <c r="B6" s="66"/>
    </row>
    <row r="7" spans="1:2">
      <c r="A7" s="63" t="str">
        <f>contacts!BE1</f>
        <v>Business State</v>
      </c>
      <c r="B7" s="66"/>
    </row>
    <row r="8" spans="1:2">
      <c r="A8" s="63" t="str">
        <f>contacts!BF1</f>
        <v>Business Postal Code</v>
      </c>
      <c r="B8" s="66"/>
    </row>
    <row r="9" spans="1:2">
      <c r="A9" s="63" t="str">
        <f>contacts!P1</f>
        <v>E-mail Address</v>
      </c>
      <c r="B9" s="66"/>
    </row>
    <row r="10" spans="1:2">
      <c r="A10" s="63" t="str">
        <f>contacts!AN1</f>
        <v>Business Phone</v>
      </c>
      <c r="B10" s="66"/>
    </row>
    <row r="11" spans="1:2">
      <c r="A11" s="63" t="str">
        <f>contacts!AP1</f>
        <v>Business Fax</v>
      </c>
      <c r="B11" s="66"/>
    </row>
    <row r="12" spans="1:2">
      <c r="A12" s="63" t="str">
        <f>contacts!Z1</f>
        <v>Home Street</v>
      </c>
      <c r="B12" s="66"/>
    </row>
    <row r="13" spans="1:2">
      <c r="A13" s="63" t="str">
        <f>contacts!AD1</f>
        <v>Home City</v>
      </c>
      <c r="B13" s="66"/>
    </row>
    <row r="14" spans="1:2">
      <c r="A14" s="63" t="str">
        <f>contacts!AE1</f>
        <v>Home State</v>
      </c>
      <c r="B14" s="66"/>
    </row>
    <row r="15" spans="1:2">
      <c r="A15" s="63" t="str">
        <f>contacts!AF1</f>
        <v>Home Postal Code</v>
      </c>
      <c r="B15" s="66"/>
    </row>
    <row r="16" spans="1:2">
      <c r="A16" s="63" t="str">
        <f>contacts!BK1</f>
        <v>Other Street</v>
      </c>
      <c r="B16" s="66"/>
    </row>
    <row r="17" spans="1:2">
      <c r="A17" s="63" t="str">
        <f>contacts!BO1</f>
        <v>Other City</v>
      </c>
      <c r="B17" s="66"/>
    </row>
    <row r="18" spans="1:2">
      <c r="A18" s="63" t="str">
        <f>contacts!BP1</f>
        <v>Other State</v>
      </c>
      <c r="B18" s="66"/>
    </row>
    <row r="19" spans="1:2">
      <c r="A19" s="63" t="str">
        <f>contacts!BQ1</f>
        <v>Other Postal Code</v>
      </c>
      <c r="B19" s="66"/>
    </row>
    <row r="20" spans="1:2">
      <c r="A20" s="63" t="str">
        <f>contacts!E1</f>
        <v>Title</v>
      </c>
      <c r="B20" s="66"/>
    </row>
    <row r="21" spans="1:2">
      <c r="A21" s="63" t="str">
        <f>contacts!T1</f>
        <v>Home Phone</v>
      </c>
      <c r="B21" s="66"/>
    </row>
    <row r="22" spans="1:2">
      <c r="A22" s="63" t="str">
        <f>contacts!V1</f>
        <v>Mobile Phone</v>
      </c>
      <c r="B22" s="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Inventory</vt:lpstr>
      <vt:lpstr>Dashboard</vt:lpstr>
      <vt:lpstr>InvoicesSheet1</vt:lpstr>
      <vt:lpstr>InvoicesInput</vt:lpstr>
      <vt:lpstr>InvoicesView_Print</vt:lpstr>
      <vt:lpstr>InvoicesLog</vt:lpstr>
      <vt:lpstr>Receipt</vt:lpstr>
      <vt:lpstr>Packing Slip</vt:lpstr>
      <vt:lpstr>InvoicesUpdate</vt:lpstr>
      <vt:lpstr>InvoicesData</vt:lpstr>
      <vt:lpstr>contacts</vt:lpstr>
      <vt:lpstr>Address</vt:lpstr>
      <vt:lpstr>NewContact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Northway</dc:creator>
  <cp:lastModifiedBy>Dan Northway</cp:lastModifiedBy>
  <dcterms:created xsi:type="dcterms:W3CDTF">2024-11-26T17:33:33Z</dcterms:created>
  <dcterms:modified xsi:type="dcterms:W3CDTF">2025-01-05T22:27:51Z</dcterms:modified>
</cp:coreProperties>
</file>